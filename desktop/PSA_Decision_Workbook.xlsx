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ettings" sheetId="2" state="visible" r:id="rId4"/>
    <sheet name="Card Decisions" sheetId="3" state="visible" r:id="rId5"/>
    <sheet name="Glossary" sheetId="4" state="visible" r:id="rId6"/>
  </sheets>
  <definedNames>
    <definedName function="false" hidden="false" name="Graded_Ship" vbProcedure="false">Settings!$C$17</definedName>
    <definedName function="false" hidden="false" name="Hurdle" vbProcedure="false">Settings!$C$24</definedName>
    <definedName function="false" hidden="false" name="Min_Edge" vbProcedure="false">Settings!$C$23</definedName>
    <definedName function="false" hidden="false" name="P9_Cond" vbProcedure="false">Settings!$C$20</definedName>
    <definedName function="false" hidden="false" name="PSA_Fee" vbProcedure="false">Settings!$C$5</definedName>
    <definedName function="false" hidden="false" name="PSA_Months" vbProcedure="false">Settings!$C$9</definedName>
    <definedName function="false" hidden="false" name="PSA_Ship_In" vbProcedure="false">Settings!$C$7</definedName>
    <definedName function="false" hidden="false" name="PSA_Ship_Out" vbProcedure="false">Settings!$C$6</definedName>
    <definedName function="false" hidden="false" name="PSA_Supplies" vbProcedure="false">Settings!$C$8</definedName>
    <definedName function="false" hidden="false" name="Raw_Ship" vbProcedure="false">Settings!$C$16</definedName>
    <definedName function="false" hidden="false" name="TCG_Commission" vbProcedure="false">Settings!$C$12</definedName>
    <definedName function="false" hidden="false" name="TCG_Pay_Fix" vbProcedure="false">Settings!$C$15</definedName>
    <definedName function="false" hidden="false" name="TCG_Pay_Pct" vbProcedure="false">Settings!$C$14</definedName>
    <definedName function="false" hidden="false" name="TCG_Pro_Fee" vbProcedure="false">Settings!$C$13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<sst xmlns="http://schemas.openxmlformats.org/spreadsheetml/2006/main" count="163" uniqueCount="141">
  <si>
    <t xml:space="preserve">Pokemon Card Grading Decision Workbook</t>
  </si>
  <si>
    <t xml:space="preserve">What this does</t>
  </si>
  <si>
    <t xml:space="preserve">For each card you own, this workbook compares two paths: (1) sell raw on TCGPlayer now, or (2) submit to PSA and sell graded later. It computes expected value, a recommendation, and the breakeven probability of pulling a PSA 10.</t>
  </si>
  <si>
    <t xml:space="preserve">How to use it</t>
  </si>
  <si>
    <t xml:space="preserve">1. Open the 'Settings' tab. Confirm the PSA tier, fees, and assumptions match your situation. Cells in BLUE are inputs you can change. Cells in YELLOW are key assumptions to revisit.</t>
  </si>
  <si>
    <t xml:space="preserve">2. Open the 'Card Decisions' tab. Each row is one card. Fill in the BLUE columns: card name, raw market price, PSA 10 sold price, PSA 9 sold price, PSA &lt;9 fallback price, and your own estimate of the chance this card grades a PSA 10.</t>
  </si>
  <si>
    <t xml:space="preserve">3. The BLACK columns are computed automatically: net cash from selling raw, expected net cash from grading, the difference, a recommendation, the breakeven PSA-10 probability, and the time-discounted version of all of the above.</t>
  </si>
  <si>
    <t xml:space="preserve">4. To pull prices automatically instead of typing them, run 'price_lookup.py' (in the same folder). It queries the free Pokemon TCG API and PokemonPriceTracker and prints values you can paste into the sheet.</t>
  </si>
  <si>
    <t xml:space="preserve">How the math works (one sentence each)</t>
  </si>
  <si>
    <t xml:space="preserve">• Raw net = TCGPlayer price × (1 − fees) − raw shipping.</t>
  </si>
  <si>
    <t xml:space="preserve">• Graded net = p(10)×V10 + p(9)×V9 + p(&lt;9)×V&lt;9 − total grading cost, where each Vx is the graded sold price net of TCGPlayer fees and shipping.</t>
  </si>
  <si>
    <t xml:space="preserve">• Recommendation = grade if (graded net − raw net) &gt; the dollar threshold in Settings.</t>
  </si>
  <si>
    <t xml:space="preserve">• Breakeven p(PSA10) = the chance of pulling a 10 that makes graded net equal raw net. If your own estimate is above this, grading is +EV; if below, sell raw.</t>
  </si>
  <si>
    <t xml:space="preserve">• Time-discounted graded net = graded net / (1 + r)^(turnaround_months/12). r is the annual hurdle rate in Settings.</t>
  </si>
  <si>
    <t xml:space="preserve">Color key</t>
  </si>
  <si>
    <t xml:space="preserve">BLUE = input you type. BLACK = formula, do not edit. GREEN = pulled from another sheet. YELLOW background = key assumption.</t>
  </si>
  <si>
    <t xml:space="preserve">Caveat</t>
  </si>
  <si>
    <t xml:space="preserve">This is a decision-support tool, not a guarantee. Population reports, market dips, condition surprises, and PSA's turnaround drift can all change the answer. Use the breakeven probability as the gut check, not the recommendation.</t>
  </si>
  <si>
    <t xml:space="preserve">Settings &amp; Assumptions</t>
  </si>
  <si>
    <t xml:space="preserve">— PSA grading costs —</t>
  </si>
  <si>
    <t xml:space="preserve">PSA tier (label only)</t>
  </si>
  <si>
    <t xml:space="preserve">Value</t>
  </si>
  <si>
    <t xml:space="preserve">Value | Economy | Regular | Express | Super Express | Walk-Through</t>
  </si>
  <si>
    <t xml:space="preserve">PSA grading fee per card</t>
  </si>
  <si>
    <t xml:space="preserve">Value=$25, Economy=$49.99, Regular=$79.99, Express=$179, Super Express=$400, Walk-Through=$600 (2026 prices)</t>
  </si>
  <si>
    <t xml:space="preserve">PSA shipping cost per card (you to PSA, amortized)</t>
  </si>
  <si>
    <t xml:space="preserve">Bulk shipping divided across submission</t>
  </si>
  <si>
    <t xml:space="preserve">PSA return shipping per card (PSA to you)</t>
  </si>
  <si>
    <t xml:space="preserve">Return shipping + insurance, amortized</t>
  </si>
  <si>
    <t xml:space="preserve">PSA supplies per card (saver, sleeves, etc.)</t>
  </si>
  <si>
    <t xml:space="preserve">Card savers + bubble wrap</t>
  </si>
  <si>
    <t xml:space="preserve">PSA turnaround (months)</t>
  </si>
  <si>
    <t xml:space="preserve">Value~7–8mo, Economy~3–4mo, Regular~1.5mo, Express~0.5mo (2026 timing)</t>
  </si>
  <si>
    <t xml:space="preserve">— TCGPlayer selling fees —</t>
  </si>
  <si>
    <t xml:space="preserve">Marketplace commission %</t>
  </si>
  <si>
    <t xml:space="preserve">Level 1–4 = 10.75% (Feb 2026); Pro = 9.25%</t>
  </si>
  <si>
    <t xml:space="preserve">Pro account fee % (0 if not Pro)</t>
  </si>
  <si>
    <t xml:space="preserve">Pro sellers add 2.5% on shipped sales</t>
  </si>
  <si>
    <t xml:space="preserve">Payment processing %</t>
  </si>
  <si>
    <t xml:space="preserve">Domestic 2.5%, International 3.5%</t>
  </si>
  <si>
    <t xml:space="preserve">Payment processing fixed fee</t>
  </si>
  <si>
    <t xml:space="preserve">Per order</t>
  </si>
  <si>
    <t xml:space="preserve">Raw card outbound shipping (you pay or absorb)</t>
  </si>
  <si>
    <t xml:space="preserve">Stamp + envelope + supplies for raw single</t>
  </si>
  <si>
    <t xml:space="preserve">Graded card outbound shipping</t>
  </si>
  <si>
    <t xml:space="preserve">Box + insurance for graded slab</t>
  </si>
  <si>
    <t xml:space="preserve">— Probability framework —</t>
  </si>
  <si>
    <t xml:space="preserve">Conditional p(PSA 9 | not PSA 10)</t>
  </si>
  <si>
    <t xml:space="preserve">Of the cards that miss a 10, what fraction grade a 9? Default 60%.</t>
  </si>
  <si>
    <t xml:space="preserve">— Decision rules —</t>
  </si>
  <si>
    <t xml:space="preserve">Minimum dollar advantage to recommend grade</t>
  </si>
  <si>
    <t xml:space="preserve">Don't grade unless graded net beats raw net by this much (covers risk + hassle)</t>
  </si>
  <si>
    <t xml:space="preserve">Annual hurdle rate (time discount)</t>
  </si>
  <si>
    <t xml:space="preserve">What annual return would you require for capital tied up at PSA?</t>
  </si>
  <si>
    <t xml:space="preserve">Card Decisions — fill BLUE columns; BLACK columns auto-compute</t>
  </si>
  <si>
    <t xml:space="preserve">#</t>
  </si>
  <si>
    <t xml:space="preserve">Card Name</t>
  </si>
  <si>
    <t xml:space="preserve">Set</t>
  </si>
  <si>
    <t xml:space="preserve">Card #</t>
  </si>
  <si>
    <t xml:space="preserve">Notes</t>
  </si>
  <si>
    <t xml:space="preserve">Raw market
(TCGPlayer $)</t>
  </si>
  <si>
    <t xml:space="preserve">PSA 10 sold
(median 5 $)</t>
  </si>
  <si>
    <t xml:space="preserve">PSA 9 sold
(median 5 $)</t>
  </si>
  <si>
    <t xml:space="preserve">PSA &lt;9 sold
(fallback $)</t>
  </si>
  <si>
    <t xml:space="preserve">Your est.
p(PSA 10)</t>
  </si>
  <si>
    <t xml:space="preserve">Implied
p(PSA 9)</t>
  </si>
  <si>
    <t xml:space="preserve">Implied
p(&lt;9)</t>
  </si>
  <si>
    <t xml:space="preserve">Net if sold
raw $</t>
  </si>
  <si>
    <t xml:space="preserve">Net if
PSA 10 $</t>
  </si>
  <si>
    <t xml:space="preserve">Net if
PSA 9 $</t>
  </si>
  <si>
    <t xml:space="preserve">Net if
PSA &lt;9 $</t>
  </si>
  <si>
    <t xml:space="preserve">Grading
total cost $</t>
  </si>
  <si>
    <t xml:space="preserve">Expected
graded net $</t>
  </si>
  <si>
    <t xml:space="preserve">EV gain
from grading $</t>
  </si>
  <si>
    <t xml:space="preserve">Recommendation
(EV)</t>
  </si>
  <si>
    <t xml:space="preserve">Breakeven
p(PSA 10)</t>
  </si>
  <si>
    <t xml:space="preserve">Margin vs
breakeven</t>
  </si>
  <si>
    <t xml:space="preserve">Time-disc.
graded net $</t>
  </si>
  <si>
    <t xml:space="preserve">Time-adj. EV
gain $</t>
  </si>
  <si>
    <t xml:space="preserve">Recommendation
(time-adjusted)</t>
  </si>
  <si>
    <t xml:space="preserve">INPUT</t>
  </si>
  <si>
    <t xml:space="preserve">AUTO</t>
  </si>
  <si>
    <t xml:space="preserve">Charizard ex</t>
  </si>
  <si>
    <t xml:space="preserve">Obsidian Flames</t>
  </si>
  <si>
    <t xml:space="preserve">125/197</t>
  </si>
  <si>
    <t xml:space="preserve">Sharp pull, centered</t>
  </si>
  <si>
    <t xml:space="preserve">Generic holo</t>
  </si>
  <si>
    <t xml:space="preserve">Some recent set</t>
  </si>
  <si>
    <t xml:space="preserve">15/200</t>
  </si>
  <si>
    <t xml:space="preserve">Played edges</t>
  </si>
  <si>
    <t xml:space="preserve">Base Set Charizard</t>
  </si>
  <si>
    <t xml:space="preserve">Base Set Unlimited</t>
  </si>
  <si>
    <t xml:space="preserve">4/102</t>
  </si>
  <si>
    <t xml:space="preserve">Decent edges, slight whitening</t>
  </si>
  <si>
    <t xml:space="preserve">Glossary — what each column means</t>
  </si>
  <si>
    <t xml:space="preserve">Card Name / Set / Card #</t>
  </si>
  <si>
    <t xml:space="preserve">Identity. Use the card number as printed on the card (e.g., "4/102") to disambiguate.</t>
  </si>
  <si>
    <t xml:space="preserve">Raw market (TCGPlayer $)</t>
  </si>
  <si>
    <t xml:space="preserve">TCGPlayer "Market Price" for the raw card. This is the price you would expect to actually clear at, net of nothing.</t>
  </si>
  <si>
    <t xml:space="preserve">PSA 10 sold (median 5 $)</t>
  </si>
  <si>
    <t xml:space="preserve">Median of the last 5 PSA 10 sales for this exact card on PriceCharting (or eBay sold). Median is more robust than average if there is a recent outlier.</t>
  </si>
  <si>
    <t xml:space="preserve">PSA 9 sold (median 5 $)</t>
  </si>
  <si>
    <t xml:space="preserve">Same idea, for PSA 9.</t>
  </si>
  <si>
    <t xml:space="preserve">PSA &lt;9 sold (fallback $)</t>
  </si>
  <si>
    <t xml:space="preserve">A conservative price for any grade below 9 (PSA 8 most likely). If unsure, use the raw price as the floor.</t>
  </si>
  <si>
    <t xml:space="preserve">Your est. p(PSA 10)</t>
  </si>
  <si>
    <t xml:space="preserve">Your honest best guess that this exact copy grades a PSA 10 if submitted. Centering, surface, edges, corners. If you do not know, start at 20–30% for sharp pulls and 5–15% for played cards. Be skeptical of yourself.</t>
  </si>
  <si>
    <t xml:space="preserve">Implied p(PSA 9) and p(&lt;9)</t>
  </si>
  <si>
    <t xml:space="preserve">Computed automatically from your p(10) and the conditional split in Settings. Default assumes 60% of misses are 9s, 40% are below 9.</t>
  </si>
  <si>
    <t xml:space="preserve">Net if sold raw</t>
  </si>
  <si>
    <t xml:space="preserve">TCGPlayer raw price after marketplace commission, payment processing, and your shipping cost.</t>
  </si>
  <si>
    <t xml:space="preserve">Net if PSA 10 / 9 / &lt;9</t>
  </si>
  <si>
    <t xml:space="preserve">Graded sold price after the same fees plus the higher graded shipping cost.</t>
  </si>
  <si>
    <t xml:space="preserve">Grading total cost</t>
  </si>
  <si>
    <t xml:space="preserve">PSA fee + ship-out + ship-in + supplies. Pulled from Settings.</t>
  </si>
  <si>
    <t xml:space="preserve">Expected graded net</t>
  </si>
  <si>
    <t xml:space="preserve">p(10)×Net10 + p(9)×Net9 + p(&lt;9)×Net&lt;9 − grading cost. The average outcome you would get if you submitted this card many times.</t>
  </si>
  <si>
    <t xml:space="preserve">EV gain from grading</t>
  </si>
  <si>
    <t xml:space="preserve">Expected graded net minus net if sold raw. Positive means grading is the better expected bet on average.</t>
  </si>
  <si>
    <t xml:space="preserve">Recommendation (EV)</t>
  </si>
  <si>
    <t xml:space="preserve">GRADE if EV gain &gt; Min_Edge in Settings. SELL RAW if EV gain &lt; −Min_Edge. TOSS-UP if it is within ±Min_Edge.</t>
  </si>
  <si>
    <t xml:space="preserve">Breakeven p(PSA 10)</t>
  </si>
  <si>
    <t xml:space="preserve">The PSA 10 probability at which grading and selling raw produce equal expected net. If your honest p(PSA 10) estimate is above this, grade. If below, sell raw. This is the most useful single number on the sheet.</t>
  </si>
  <si>
    <t xml:space="preserve">Margin vs breakeven</t>
  </si>
  <si>
    <t xml:space="preserve">Your p(10) minus the breakeven p(10). Positive = grading is +EV at your stated belief. The bigger the cushion, the more robust the grade decision.</t>
  </si>
  <si>
    <t xml:space="preserve">Time-discounted graded net</t>
  </si>
  <si>
    <t xml:space="preserve">Expected graded net adjusted for the months your money is locked up at PSA. Uses an annual hurdle rate from Settings.</t>
  </si>
  <si>
    <t xml:space="preserve">Time-adj. EV gain</t>
  </si>
  <si>
    <t xml:space="preserve">Time-discounted graded net minus net if sold raw. The "honest" advantage once you account for capital cost.</t>
  </si>
  <si>
    <t xml:space="preserve">Recommendation (time-adjusted)</t>
  </si>
  <si>
    <t xml:space="preserve">Same logic as the EV recommendation, but using the time-discounted advantage. This is the column to trust when turnaround is long (Value tier).</t>
  </si>
  <si>
    <t xml:space="preserve">— Corner cases for Breakeven p(PSA 10) —</t>
  </si>
  <si>
    <t xml:space="preserve">Negative breakeven</t>
  </si>
  <si>
    <t xml:space="preserve">A breakeven below 0% means grading wins even if the card never grades a 10. The PSA 9 (and below) prices alone are valuable enough that grading is +EV. Treat as "strong grade."</t>
  </si>
  <si>
    <t xml:space="preserve">Breakeven over 100%</t>
  </si>
  <si>
    <t xml:space="preserve">A breakeven above 100% means even a guaranteed PSA 10 cannot overcome the grading cost vs the raw price. Treat as "strong sell raw" — these are bulk cards that should not be graded under any circumstances.</t>
  </si>
  <si>
    <t xml:space="preserve">"n/a"</t>
  </si>
  <si>
    <t xml:space="preserve">Shows when PSA 10 net equals the average net of misses, which would create a divide-by-zero. Rare; usually means the prices entered look the same across grades.</t>
  </si>
  <si>
    <t xml:space="preserve">— Tip: read the breakeven, not just the recommendation —</t>
  </si>
  <si>
    <t xml:space="preserve">Why</t>
  </si>
  <si>
    <t xml:space="preserve">Two cards can both say GRADE, but one might have a 5% breakeven (very robust to your probability estimate being wrong) and the other 35% (highly sensitive). When you have many cards to submit, prioritize the low-breakeven ones — those are the bets you would still take even if your grade-prediction skill is shaky.</t>
  </si>
</sst>
</file>

<file path=xl/styles.xml><?xml version="1.0" encoding="utf-8"?>
<styleSheet xmlns="http://schemas.openxmlformats.org/spreadsheetml/2006/main">
  <numFmts count="4">
    <numFmt numFmtId="164" formatCode="General"/>
    <numFmt numFmtId="165" formatCode="\$#,##0.00;&quot;($&quot;#,##0.00\);\-"/>
    <numFmt numFmtId="166" formatCode="0.0"/>
    <numFmt numFmtId="167" formatCode="0.0%;\(0.0%\);\-"/>
  </numFmts>
  <fonts count="19">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sz val="11"/>
      <name val="Arial"/>
      <family val="0"/>
      <charset val="1"/>
    </font>
    <font>
      <b val="true"/>
      <sz val="12"/>
      <name val="Arial"/>
      <family val="0"/>
      <charset val="1"/>
    </font>
    <font>
      <b val="true"/>
      <sz val="14"/>
      <name val="Arial"/>
      <family val="0"/>
      <charset val="1"/>
    </font>
    <font>
      <b val="true"/>
      <sz val="11"/>
      <color rgb="FF305496"/>
      <name val="Arial"/>
      <family val="0"/>
      <charset val="1"/>
    </font>
    <font>
      <sz val="11"/>
      <color rgb="FF0000FF"/>
      <name val="Arial"/>
      <family val="0"/>
      <charset val="1"/>
    </font>
    <font>
      <i val="true"/>
      <sz val="10"/>
      <color rgb="FF595959"/>
      <name val="Arial"/>
      <family val="0"/>
      <charset val="1"/>
    </font>
    <font>
      <b val="true"/>
      <sz val="13"/>
      <name val="Arial"/>
      <family val="0"/>
      <charset val="1"/>
    </font>
    <font>
      <b val="true"/>
      <sz val="11"/>
      <color rgb="FFFFFFFF"/>
      <name val="Arial"/>
      <family val="0"/>
      <charset val="1"/>
    </font>
    <font>
      <b val="true"/>
      <sz val="9"/>
      <color rgb="FF0000FF"/>
      <name val="Arial"/>
      <family val="0"/>
      <charset val="1"/>
    </font>
    <font>
      <b val="true"/>
      <sz val="9"/>
      <color rgb="FF000000"/>
      <name val="Arial"/>
      <family val="0"/>
      <charset val="1"/>
    </font>
    <font>
      <b val="true"/>
      <sz val="11"/>
      <color rgb="FF808080"/>
      <name val="Arial"/>
      <family val="0"/>
      <charset val="1"/>
    </font>
    <font>
      <sz val="11"/>
      <color rgb="FF000000"/>
      <name val="Arial"/>
      <family val="0"/>
      <charset val="1"/>
    </font>
    <font>
      <b val="true"/>
      <sz val="11"/>
      <name val="Arial"/>
      <family val="0"/>
      <charset val="1"/>
    </font>
    <font>
      <b val="true"/>
      <sz val="12"/>
      <color rgb="FF305496"/>
      <name val="Arial"/>
      <family val="0"/>
      <charset val="1"/>
    </font>
  </fonts>
  <fills count="5">
    <fill>
      <patternFill patternType="none"/>
    </fill>
    <fill>
      <patternFill patternType="gray125"/>
    </fill>
    <fill>
      <patternFill patternType="solid">
        <fgColor rgb="FFFFF2CC"/>
        <bgColor rgb="FFFFEB9C"/>
      </patternFill>
    </fill>
    <fill>
      <patternFill patternType="solid">
        <fgColor rgb="FF305496"/>
        <bgColor rgb="FF595959"/>
      </patternFill>
    </fill>
    <fill>
      <patternFill patternType="solid">
        <fgColor rgb="FFD9E1F2"/>
        <bgColor rgb="FFC6EFCE"/>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general" vertical="center" textRotation="0" wrapText="true" indent="0" shrinkToFit="false"/>
      <protection locked="true" hidden="false"/>
    </xf>
    <xf numFmtId="165" fontId="9" fillId="2" borderId="1" xfId="0" applyFont="true" applyBorder="true" applyAlignment="true" applyProtection="false">
      <alignment horizontal="right" vertical="center" textRotation="0" wrapText="false" indent="0" shrinkToFit="false"/>
      <protection locked="true" hidden="false"/>
    </xf>
    <xf numFmtId="166" fontId="9" fillId="2" borderId="1" xfId="0" applyFont="true" applyBorder="true" applyAlignment="true" applyProtection="false">
      <alignment horizontal="right" vertical="center" textRotation="0" wrapText="false" indent="0" shrinkToFit="false"/>
      <protection locked="true" hidden="false"/>
    </xf>
    <xf numFmtId="167" fontId="9" fillId="2"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true" applyProtection="false">
      <alignment horizontal="center" vertical="center" textRotation="0" wrapText="true" indent="0" shrinkToFit="false"/>
      <protection locked="true" hidden="false"/>
    </xf>
    <xf numFmtId="164" fontId="13" fillId="4" borderId="1" xfId="0" applyFont="true" applyBorder="true" applyAlignment="true" applyProtection="false">
      <alignment horizontal="center" vertical="center" textRotation="0" wrapText="true" indent="0" shrinkToFit="false"/>
      <protection locked="true" hidden="false"/>
    </xf>
    <xf numFmtId="164" fontId="14" fillId="4" borderId="1"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5" fontId="9" fillId="0" borderId="1" xfId="0" applyFont="true" applyBorder="true" applyAlignment="true" applyProtection="false">
      <alignment horizontal="right" vertical="center" textRotation="0" wrapText="false" indent="0" shrinkToFit="false"/>
      <protection locked="true" hidden="false"/>
    </xf>
    <xf numFmtId="167" fontId="9" fillId="0" borderId="1" xfId="0" applyFont="true" applyBorder="true" applyAlignment="true" applyProtection="false">
      <alignment horizontal="center" vertical="center" textRotation="0" wrapText="true" indent="0" shrinkToFit="false"/>
      <protection locked="true" hidden="false"/>
    </xf>
    <xf numFmtId="167" fontId="16" fillId="0" borderId="1" xfId="0" applyFont="true" applyBorder="true" applyAlignment="true" applyProtection="false">
      <alignment horizontal="center" vertical="center" textRotation="0" wrapText="true" indent="0" shrinkToFit="false"/>
      <protection locked="true" hidden="false"/>
    </xf>
    <xf numFmtId="165" fontId="16" fillId="0" borderId="1" xfId="0" applyFont="true" applyBorder="true" applyAlignment="true" applyProtection="false">
      <alignment horizontal="general" vertical="bottom" textRotation="0" wrapText="fals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b val="1"/>
        <color rgb="FF006100"/>
      </font>
      <fill>
        <patternFill>
          <bgColor rgb="FFC6EFCE"/>
        </patternFill>
      </fill>
    </dxf>
    <dxf>
      <font>
        <b val="1"/>
        <color rgb="FF9C0006"/>
      </font>
      <fill>
        <patternFill>
          <bgColor rgb="FFFFC7CE"/>
        </patternFill>
      </fill>
    </dxf>
    <dxf>
      <font>
        <b val="1"/>
        <color rgb="FF9C5700"/>
      </font>
      <fill>
        <patternFill>
          <bgColor rgb="FFFFEB9C"/>
        </patternFill>
      </fill>
    </dxf>
    <dxf>
      <fill>
        <patternFill>
          <bgColor rgb="FFC6EFCE"/>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C57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110"/>
  </cols>
  <sheetData>
    <row r="1" customFormat="false" ht="18" hidden="false" customHeight="true" outlineLevel="0" collapsed="false">
      <c r="B1" s="2" t="s">
        <v>0</v>
      </c>
    </row>
    <row r="2" customFormat="false" ht="15.75" hidden="false" customHeight="true" outlineLevel="0" collapsed="false">
      <c r="B2" s="3"/>
    </row>
    <row r="3" customFormat="false" ht="15.75" hidden="false" customHeight="true" outlineLevel="0" collapsed="false">
      <c r="B3" s="4" t="s">
        <v>1</v>
      </c>
    </row>
    <row r="4" customFormat="false" ht="27.75" hidden="false" customHeight="true" outlineLevel="0" collapsed="false">
      <c r="B4" s="3" t="s">
        <v>2</v>
      </c>
    </row>
    <row r="5" customFormat="false" ht="15.75" hidden="false" customHeight="true" outlineLevel="0" collapsed="false">
      <c r="B5" s="3"/>
    </row>
    <row r="6" customFormat="false" ht="15.75" hidden="false" customHeight="true" outlineLevel="0" collapsed="false">
      <c r="B6" s="4" t="s">
        <v>3</v>
      </c>
    </row>
    <row r="7" customFormat="false" ht="27.75" hidden="false" customHeight="true" outlineLevel="0" collapsed="false">
      <c r="B7" s="3" t="s">
        <v>4</v>
      </c>
    </row>
    <row r="8" customFormat="false" ht="27.75" hidden="false" customHeight="true" outlineLevel="0" collapsed="false">
      <c r="B8" s="3" t="s">
        <v>5</v>
      </c>
    </row>
    <row r="9" customFormat="false" ht="27.75" hidden="false" customHeight="true" outlineLevel="0" collapsed="false">
      <c r="B9" s="3" t="s">
        <v>6</v>
      </c>
    </row>
    <row r="10" customFormat="false" ht="27.75" hidden="false" customHeight="true" outlineLevel="0" collapsed="false">
      <c r="B10" s="3" t="s">
        <v>7</v>
      </c>
    </row>
    <row r="11" customFormat="false" ht="15.75" hidden="false" customHeight="true" outlineLevel="0" collapsed="false">
      <c r="B11" s="3"/>
    </row>
    <row r="12" customFormat="false" ht="15.75" hidden="false" customHeight="true" outlineLevel="0" collapsed="false">
      <c r="B12" s="4" t="s">
        <v>8</v>
      </c>
    </row>
    <row r="13" customFormat="false" ht="15.75" hidden="false" customHeight="true" outlineLevel="0" collapsed="false">
      <c r="B13" s="3" t="s">
        <v>9</v>
      </c>
    </row>
    <row r="14" customFormat="false" ht="27.75" hidden="false" customHeight="true" outlineLevel="0" collapsed="false">
      <c r="B14" s="3" t="s">
        <v>10</v>
      </c>
    </row>
    <row r="15" customFormat="false" ht="27.75" hidden="false" customHeight="true" outlineLevel="0" collapsed="false">
      <c r="B15" s="3" t="s">
        <v>11</v>
      </c>
    </row>
    <row r="16" customFormat="false" ht="27.75" hidden="false" customHeight="true" outlineLevel="0" collapsed="false">
      <c r="B16" s="3" t="s">
        <v>12</v>
      </c>
    </row>
    <row r="17" customFormat="false" ht="27.75" hidden="false" customHeight="true" outlineLevel="0" collapsed="false">
      <c r="B17" s="3" t="s">
        <v>13</v>
      </c>
    </row>
    <row r="18" customFormat="false" ht="15.75" hidden="false" customHeight="true" outlineLevel="0" collapsed="false">
      <c r="B18" s="3"/>
    </row>
    <row r="19" customFormat="false" ht="15.75" hidden="false" customHeight="true" outlineLevel="0" collapsed="false">
      <c r="B19" s="4" t="s">
        <v>14</v>
      </c>
    </row>
    <row r="20" customFormat="false" ht="27.75" hidden="false" customHeight="true" outlineLevel="0" collapsed="false">
      <c r="B20" s="3" t="s">
        <v>15</v>
      </c>
    </row>
    <row r="21" customFormat="false" ht="15.75" hidden="false" customHeight="true" outlineLevel="0" collapsed="false">
      <c r="B21" s="3"/>
    </row>
    <row r="22" customFormat="false" ht="15.75" hidden="false" customHeight="true" outlineLevel="0" collapsed="false">
      <c r="B22" s="4" t="s">
        <v>16</v>
      </c>
    </row>
    <row r="23" customFormat="false" ht="27.75" hidden="false" customHeight="true" outlineLevel="0" collapsed="false">
      <c r="B23" s="3"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42"/>
    <col collapsed="false" customWidth="true" hidden="false" outlineLevel="0" max="3" min="3" style="1" width="16"/>
    <col collapsed="false" customWidth="true" hidden="false" outlineLevel="0" max="4" min="4" style="1" width="60"/>
  </cols>
  <sheetData>
    <row r="1" customFormat="false" ht="17.25" hidden="false" customHeight="true" outlineLevel="0" collapsed="false">
      <c r="B1" s="5" t="s">
        <v>18</v>
      </c>
    </row>
    <row r="3" customFormat="false" ht="15" hidden="false" customHeight="true" outlineLevel="0" collapsed="false">
      <c r="B3" s="6" t="s">
        <v>19</v>
      </c>
    </row>
    <row r="4" customFormat="false" ht="15" hidden="false" customHeight="true" outlineLevel="0" collapsed="false">
      <c r="B4" s="7" t="s">
        <v>20</v>
      </c>
      <c r="C4" s="8" t="s">
        <v>21</v>
      </c>
      <c r="D4" s="9" t="s">
        <v>22</v>
      </c>
    </row>
    <row r="5" customFormat="false" ht="23.25" hidden="false" customHeight="true" outlineLevel="0" collapsed="false">
      <c r="B5" s="7" t="s">
        <v>23</v>
      </c>
      <c r="C5" s="10" t="n">
        <v>25</v>
      </c>
      <c r="D5" s="9" t="s">
        <v>24</v>
      </c>
    </row>
    <row r="6" customFormat="false" ht="15" hidden="false" customHeight="true" outlineLevel="0" collapsed="false">
      <c r="B6" s="7" t="s">
        <v>25</v>
      </c>
      <c r="C6" s="10" t="n">
        <v>3</v>
      </c>
      <c r="D6" s="9" t="s">
        <v>26</v>
      </c>
    </row>
    <row r="7" customFormat="false" ht="15" hidden="false" customHeight="true" outlineLevel="0" collapsed="false">
      <c r="B7" s="7" t="s">
        <v>27</v>
      </c>
      <c r="C7" s="10" t="n">
        <v>5</v>
      </c>
      <c r="D7" s="9" t="s">
        <v>28</v>
      </c>
    </row>
    <row r="8" customFormat="false" ht="15" hidden="false" customHeight="true" outlineLevel="0" collapsed="false">
      <c r="B8" s="7" t="s">
        <v>29</v>
      </c>
      <c r="C8" s="10" t="n">
        <v>1</v>
      </c>
      <c r="D8" s="9" t="s">
        <v>30</v>
      </c>
    </row>
    <row r="9" customFormat="false" ht="23.25" hidden="false" customHeight="true" outlineLevel="0" collapsed="false">
      <c r="B9" s="7" t="s">
        <v>31</v>
      </c>
      <c r="C9" s="11" t="n">
        <v>8</v>
      </c>
      <c r="D9" s="9" t="s">
        <v>32</v>
      </c>
    </row>
    <row r="10" customFormat="false" ht="15" hidden="false" customHeight="true" outlineLevel="0" collapsed="false">
      <c r="B10" s="6"/>
    </row>
    <row r="11" customFormat="false" ht="15" hidden="false" customHeight="true" outlineLevel="0" collapsed="false">
      <c r="B11" s="6" t="s">
        <v>33</v>
      </c>
    </row>
    <row r="12" customFormat="false" ht="15" hidden="false" customHeight="true" outlineLevel="0" collapsed="false">
      <c r="B12" s="7" t="s">
        <v>34</v>
      </c>
      <c r="C12" s="12" t="n">
        <v>0.1075</v>
      </c>
      <c r="D12" s="9" t="s">
        <v>35</v>
      </c>
    </row>
    <row r="13" customFormat="false" ht="15" hidden="false" customHeight="true" outlineLevel="0" collapsed="false">
      <c r="B13" s="7" t="s">
        <v>36</v>
      </c>
      <c r="C13" s="12" t="n">
        <v>0</v>
      </c>
      <c r="D13" s="9" t="s">
        <v>37</v>
      </c>
    </row>
    <row r="14" customFormat="false" ht="15" hidden="false" customHeight="true" outlineLevel="0" collapsed="false">
      <c r="B14" s="7" t="s">
        <v>38</v>
      </c>
      <c r="C14" s="12" t="n">
        <v>0.025</v>
      </c>
      <c r="D14" s="9" t="s">
        <v>39</v>
      </c>
    </row>
    <row r="15" customFormat="false" ht="15" hidden="false" customHeight="true" outlineLevel="0" collapsed="false">
      <c r="B15" s="7" t="s">
        <v>40</v>
      </c>
      <c r="C15" s="10" t="n">
        <v>0.3</v>
      </c>
      <c r="D15" s="9" t="s">
        <v>41</v>
      </c>
    </row>
    <row r="16" customFormat="false" ht="15" hidden="false" customHeight="true" outlineLevel="0" collapsed="false">
      <c r="B16" s="7" t="s">
        <v>42</v>
      </c>
      <c r="C16" s="10" t="n">
        <v>1.5</v>
      </c>
      <c r="D16" s="9" t="s">
        <v>43</v>
      </c>
    </row>
    <row r="17" customFormat="false" ht="15" hidden="false" customHeight="true" outlineLevel="0" collapsed="false">
      <c r="B17" s="7" t="s">
        <v>44</v>
      </c>
      <c r="C17" s="10" t="n">
        <v>8</v>
      </c>
      <c r="D17" s="9" t="s">
        <v>45</v>
      </c>
    </row>
    <row r="18" customFormat="false" ht="15" hidden="false" customHeight="true" outlineLevel="0" collapsed="false">
      <c r="B18" s="6"/>
    </row>
    <row r="19" customFormat="false" ht="15" hidden="false" customHeight="true" outlineLevel="0" collapsed="false">
      <c r="B19" s="6" t="s">
        <v>46</v>
      </c>
    </row>
    <row r="20" customFormat="false" ht="15" hidden="false" customHeight="true" outlineLevel="0" collapsed="false">
      <c r="B20" s="7" t="s">
        <v>47</v>
      </c>
      <c r="C20" s="12" t="n">
        <v>0.6</v>
      </c>
      <c r="D20" s="9" t="s">
        <v>48</v>
      </c>
    </row>
    <row r="21" customFormat="false" ht="15" hidden="false" customHeight="true" outlineLevel="0" collapsed="false">
      <c r="B21" s="6"/>
    </row>
    <row r="22" customFormat="false" ht="15" hidden="false" customHeight="true" outlineLevel="0" collapsed="false">
      <c r="B22" s="6" t="s">
        <v>49</v>
      </c>
    </row>
    <row r="23" customFormat="false" ht="23.25" hidden="false" customHeight="true" outlineLevel="0" collapsed="false">
      <c r="B23" s="7" t="s">
        <v>50</v>
      </c>
      <c r="C23" s="10" t="n">
        <v>10</v>
      </c>
      <c r="D23" s="9" t="s">
        <v>51</v>
      </c>
    </row>
    <row r="24" customFormat="false" ht="15" hidden="false" customHeight="true" outlineLevel="0" collapsed="false">
      <c r="B24" s="7" t="s">
        <v>52</v>
      </c>
      <c r="C24" s="12" t="n">
        <v>0.1</v>
      </c>
      <c r="D24" s="9" t="s">
        <v>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5"/>
    <col collapsed="false" customWidth="true" hidden="false" outlineLevel="0" max="2" min="2" style="1" width="22"/>
    <col collapsed="false" customWidth="true" hidden="false" outlineLevel="0" max="3" min="3" style="1" width="16"/>
    <col collapsed="false" customWidth="true" hidden="false" outlineLevel="0" max="4" min="4" style="1" width="10"/>
    <col collapsed="false" customWidth="true" hidden="false" outlineLevel="0" max="5" min="5" style="1" width="22"/>
    <col collapsed="false" customWidth="true" hidden="false" outlineLevel="0" max="9" min="6" style="1" width="12"/>
    <col collapsed="false" customWidth="true" hidden="false" outlineLevel="0" max="12" min="10" style="1" width="11"/>
    <col collapsed="false" customWidth="true" hidden="false" outlineLevel="0" max="19" min="13" style="1" width="12"/>
    <col collapsed="false" customWidth="true" hidden="false" outlineLevel="0" max="20" min="20" style="1" width="14"/>
    <col collapsed="false" customWidth="true" hidden="false" outlineLevel="0" max="22" min="21" style="1" width="12"/>
    <col collapsed="false" customWidth="true" hidden="false" outlineLevel="0" max="24" min="23" style="1" width="13"/>
    <col collapsed="false" customWidth="true" hidden="false" outlineLevel="0" max="25" min="25" style="1" width="16"/>
  </cols>
  <sheetData>
    <row r="1" customFormat="false" ht="15.75" hidden="false" customHeight="true" outlineLevel="0" collapsed="false">
      <c r="A1" s="13" t="s">
        <v>54</v>
      </c>
      <c r="B1" s="13"/>
      <c r="C1" s="13"/>
      <c r="D1" s="13"/>
      <c r="E1" s="13"/>
      <c r="F1" s="13"/>
      <c r="G1" s="13"/>
      <c r="H1" s="13"/>
      <c r="I1" s="13"/>
      <c r="J1" s="13"/>
      <c r="K1" s="13"/>
      <c r="L1" s="13"/>
      <c r="M1" s="13"/>
      <c r="N1" s="13"/>
      <c r="O1" s="13"/>
      <c r="P1" s="13"/>
      <c r="Q1" s="13"/>
      <c r="R1" s="13"/>
      <c r="S1" s="13"/>
      <c r="T1" s="13"/>
      <c r="U1" s="13"/>
      <c r="V1" s="13"/>
      <c r="W1" s="13"/>
      <c r="X1" s="13"/>
      <c r="Y1" s="13"/>
    </row>
    <row r="3" customFormat="false" ht="36" hidden="false" customHeight="true" outlineLevel="0" collapsed="false">
      <c r="A3" s="14" t="s">
        <v>55</v>
      </c>
      <c r="B3" s="14" t="s">
        <v>56</v>
      </c>
      <c r="C3" s="14" t="s">
        <v>57</v>
      </c>
      <c r="D3" s="14" t="s">
        <v>58</v>
      </c>
      <c r="E3" s="14" t="s">
        <v>59</v>
      </c>
      <c r="F3" s="14" t="s">
        <v>60</v>
      </c>
      <c r="G3" s="14" t="s">
        <v>61</v>
      </c>
      <c r="H3" s="14" t="s">
        <v>62</v>
      </c>
      <c r="I3" s="14" t="s">
        <v>63</v>
      </c>
      <c r="J3" s="14" t="s">
        <v>64</v>
      </c>
      <c r="K3" s="14" t="s">
        <v>65</v>
      </c>
      <c r="L3" s="14" t="s">
        <v>66</v>
      </c>
      <c r="M3" s="14" t="s">
        <v>67</v>
      </c>
      <c r="N3" s="14" t="s">
        <v>68</v>
      </c>
      <c r="O3" s="14" t="s">
        <v>69</v>
      </c>
      <c r="P3" s="14" t="s">
        <v>70</v>
      </c>
      <c r="Q3" s="14" t="s">
        <v>71</v>
      </c>
      <c r="R3" s="14" t="s">
        <v>72</v>
      </c>
      <c r="S3" s="14" t="s">
        <v>73</v>
      </c>
      <c r="T3" s="14" t="s">
        <v>74</v>
      </c>
      <c r="U3" s="14" t="s">
        <v>75</v>
      </c>
      <c r="V3" s="14" t="s">
        <v>76</v>
      </c>
      <c r="W3" s="14" t="s">
        <v>77</v>
      </c>
      <c r="X3" s="14" t="s">
        <v>78</v>
      </c>
      <c r="Y3" s="14" t="s">
        <v>79</v>
      </c>
    </row>
    <row r="4" customFormat="false" ht="15" hidden="false" customHeight="true" outlineLevel="0" collapsed="false">
      <c r="A4" s="15"/>
      <c r="B4" s="16" t="s">
        <v>80</v>
      </c>
      <c r="C4" s="16" t="s">
        <v>80</v>
      </c>
      <c r="D4" s="16" t="s">
        <v>80</v>
      </c>
      <c r="E4" s="16" t="s">
        <v>80</v>
      </c>
      <c r="F4" s="16" t="s">
        <v>80</v>
      </c>
      <c r="G4" s="16" t="s">
        <v>80</v>
      </c>
      <c r="H4" s="16" t="s">
        <v>80</v>
      </c>
      <c r="I4" s="16" t="s">
        <v>80</v>
      </c>
      <c r="J4" s="16" t="s">
        <v>80</v>
      </c>
      <c r="K4" s="17" t="s">
        <v>81</v>
      </c>
      <c r="L4" s="17" t="s">
        <v>81</v>
      </c>
      <c r="M4" s="17" t="s">
        <v>81</v>
      </c>
      <c r="N4" s="17" t="s">
        <v>81</v>
      </c>
      <c r="O4" s="17" t="s">
        <v>81</v>
      </c>
      <c r="P4" s="17" t="s">
        <v>81</v>
      </c>
      <c r="Q4" s="17" t="s">
        <v>81</v>
      </c>
      <c r="R4" s="17" t="s">
        <v>81</v>
      </c>
      <c r="S4" s="17" t="s">
        <v>81</v>
      </c>
      <c r="T4" s="17" t="s">
        <v>81</v>
      </c>
      <c r="U4" s="17" t="s">
        <v>81</v>
      </c>
      <c r="V4" s="17" t="s">
        <v>81</v>
      </c>
      <c r="W4" s="17" t="s">
        <v>81</v>
      </c>
      <c r="X4" s="17" t="s">
        <v>81</v>
      </c>
      <c r="Y4" s="17" t="s">
        <v>81</v>
      </c>
    </row>
    <row r="5" customFormat="false" ht="18" hidden="false" customHeight="true" outlineLevel="0" collapsed="false">
      <c r="A5" s="18" t="n">
        <v>1</v>
      </c>
      <c r="B5" s="19" t="s">
        <v>82</v>
      </c>
      <c r="C5" s="19" t="s">
        <v>83</v>
      </c>
      <c r="D5" s="19" t="s">
        <v>84</v>
      </c>
      <c r="E5" s="19" t="s">
        <v>85</v>
      </c>
      <c r="F5" s="20" t="n">
        <v>50</v>
      </c>
      <c r="G5" s="20" t="n">
        <v>220</v>
      </c>
      <c r="H5" s="20" t="n">
        <v>110</v>
      </c>
      <c r="I5" s="20" t="n">
        <v>65</v>
      </c>
      <c r="J5" s="21" t="n">
        <v>0.4</v>
      </c>
      <c r="K5" s="22" t="n">
        <f aca="false">IF(J5="","",(1-J5)*P9_Cond)</f>
        <v>0.36</v>
      </c>
      <c r="L5" s="22" t="n">
        <f aca="false">IF(J5="","",(1-J5)*(1-P9_Cond))</f>
        <v>0.24</v>
      </c>
      <c r="M5" s="23" t="n">
        <f aca="false">IF(F5="","",F5*(1-TCG_Commission-TCG_Pro_Fee-TCG_Pay_Pct)-TCG_Pay_Fix-Raw_Ship)</f>
        <v>41.575</v>
      </c>
      <c r="N5" s="23" t="n">
        <f aca="false">IF(G5="","",G5*(1-TCG_Commission-TCG_Pro_Fee-TCG_Pay_Pct)-TCG_Pay_Fix-Graded_Ship)</f>
        <v>182.55</v>
      </c>
      <c r="O5" s="23" t="n">
        <f aca="false">IF(H5="","",H5*(1-TCG_Commission-TCG_Pro_Fee-TCG_Pay_Pct)-TCG_Pay_Fix-Graded_Ship)</f>
        <v>87.125</v>
      </c>
      <c r="P5" s="23" t="n">
        <f aca="false">IF(I5="","",I5*(1-TCG_Commission-TCG_Pro_Fee-TCG_Pay_Pct)-TCG_Pay_Fix-Graded_Ship)</f>
        <v>48.0875</v>
      </c>
      <c r="Q5" s="23" t="n">
        <f aca="false">PSA_Fee+PSA_Ship_Out+PSA_Ship_In+PSA_Supplies</f>
        <v>34</v>
      </c>
      <c r="R5" s="23" t="n">
        <f aca="false">IF(OR(J5="",N5="",O5="",P5=""),"",J5*N5+K5*O5+L5*P5-Q5)</f>
        <v>81.926</v>
      </c>
      <c r="S5" s="23" t="n">
        <f aca="false">IF(OR(R5="",M5=""),"",R5-M5)</f>
        <v>40.351</v>
      </c>
      <c r="T5" s="24" t="str">
        <f aca="false">IF(S5="","",IF(S5&gt;Min_Edge,"GRADE",IF(S5&lt;-Min_Edge,"SELL RAW","TOSS-UP")))</f>
        <v>GRADE</v>
      </c>
      <c r="U5" s="22" t="n">
        <f aca="false">IF(OR(N5="",O5="",P5="",M5=""),"",IFERROR((M5+Q5-(P9_Cond*O5+(1-P9_Cond)*P5))/(N5-(P9_Cond*O5+(1-P9_Cond)*P5)),"n/a"))</f>
        <v>0.0366084293948128</v>
      </c>
      <c r="V5" s="22" t="n">
        <f aca="false">IF(OR(J5="",U5="",U5="n/a"),"",J5-U5)</f>
        <v>0.363391570605187</v>
      </c>
      <c r="W5" s="23" t="n">
        <f aca="false">IF(R5="","",R5/(1+Hurdle)^(PSA_Months/12))</f>
        <v>76.882346126253</v>
      </c>
      <c r="X5" s="23" t="n">
        <f aca="false">IF(OR(W5="",M5=""),"",W5-M5)</f>
        <v>35.307346126253</v>
      </c>
      <c r="Y5" s="24" t="str">
        <f aca="false">IF(X5="","",IF(X5&gt;Min_Edge,"GRADE",IF(X5&lt;-Min_Edge,"SELL RAW","TOSS-UP")))</f>
        <v>GRADE</v>
      </c>
    </row>
    <row r="6" customFormat="false" ht="18" hidden="false" customHeight="true" outlineLevel="0" collapsed="false">
      <c r="A6" s="18" t="n">
        <v>2</v>
      </c>
      <c r="B6" s="19" t="s">
        <v>86</v>
      </c>
      <c r="C6" s="19" t="s">
        <v>87</v>
      </c>
      <c r="D6" s="19" t="s">
        <v>88</v>
      </c>
      <c r="E6" s="19" t="s">
        <v>89</v>
      </c>
      <c r="F6" s="20" t="n">
        <v>8</v>
      </c>
      <c r="G6" s="20" t="n">
        <v>35</v>
      </c>
      <c r="H6" s="20" t="n">
        <v>18</v>
      </c>
      <c r="I6" s="20" t="n">
        <v>10</v>
      </c>
      <c r="J6" s="21" t="n">
        <v>0.05</v>
      </c>
      <c r="K6" s="22" t="n">
        <f aca="false">IF(J6="","",(1-J6)*P9_Cond)</f>
        <v>0.57</v>
      </c>
      <c r="L6" s="22" t="n">
        <f aca="false">IF(J6="","",(1-J6)*(1-P9_Cond))</f>
        <v>0.38</v>
      </c>
      <c r="M6" s="23" t="n">
        <f aca="false">IF(F6="","",F6*(1-TCG_Commission-TCG_Pro_Fee-TCG_Pay_Pct)-TCG_Pay_Fix-Raw_Ship)</f>
        <v>5.14</v>
      </c>
      <c r="N6" s="23" t="n">
        <f aca="false">IF(G6="","",G6*(1-TCG_Commission-TCG_Pro_Fee-TCG_Pay_Pct)-TCG_Pay_Fix-Graded_Ship)</f>
        <v>22.0625</v>
      </c>
      <c r="O6" s="23" t="n">
        <f aca="false">IF(H6="","",H6*(1-TCG_Commission-TCG_Pro_Fee-TCG_Pay_Pct)-TCG_Pay_Fix-Graded_Ship)</f>
        <v>7.315</v>
      </c>
      <c r="P6" s="23" t="n">
        <f aca="false">IF(I6="","",I6*(1-TCG_Commission-TCG_Pro_Fee-TCG_Pay_Pct)-TCG_Pay_Fix-Graded_Ship)</f>
        <v>0.374999999999998</v>
      </c>
      <c r="Q6" s="23" t="n">
        <f aca="false">PSA_Fee+PSA_Ship_Out+PSA_Ship_In+PSA_Supplies</f>
        <v>34</v>
      </c>
      <c r="R6" s="23" t="n">
        <f aca="false">IF(OR(J6="",N6="",O6="",P6=""),"",J6*N6+K6*O6+L6*P6-Q6)</f>
        <v>-28.584825</v>
      </c>
      <c r="S6" s="23" t="n">
        <f aca="false">IF(OR(R6="",M6=""),"",R6-M6)</f>
        <v>-33.724825</v>
      </c>
      <c r="T6" s="24" t="str">
        <f aca="false">IF(S6="","",IF(S6&gt;Min_Edge,"GRADE",IF(S6&lt;-Min_Edge,"SELL RAW","TOSS-UP")))</f>
        <v>SELL RAW</v>
      </c>
      <c r="U6" s="22" t="n">
        <f aca="false">IF(OR(N6="",O6="",P6="",M6=""),"",IFERROR((M6+Q6-(P9_Cond*O6+(1-P9_Cond)*P6))/(N6-(P9_Cond*O6+(1-P9_Cond)*P6)),"n/a"))</f>
        <v>1.97454846349188</v>
      </c>
      <c r="V6" s="22" t="n">
        <f aca="false">IF(OR(J6="",U6="",U6="n/a"),"",J6-U6)</f>
        <v>-1.92454846349188</v>
      </c>
      <c r="W6" s="23" t="n">
        <f aca="false">IF(R6="","",R6/(1+Hurdle)^(PSA_Months/12))</f>
        <v>-26.8250422284546</v>
      </c>
      <c r="X6" s="23" t="n">
        <f aca="false">IF(OR(W6="",M6=""),"",W6-M6)</f>
        <v>-31.9650422284546</v>
      </c>
      <c r="Y6" s="24" t="str">
        <f aca="false">IF(X6="","",IF(X6&gt;Min_Edge,"GRADE",IF(X6&lt;-Min_Edge,"SELL RAW","TOSS-UP")))</f>
        <v>SELL RAW</v>
      </c>
    </row>
    <row r="7" customFormat="false" ht="18" hidden="false" customHeight="true" outlineLevel="0" collapsed="false">
      <c r="A7" s="18" t="n">
        <v>3</v>
      </c>
      <c r="B7" s="19" t="s">
        <v>90</v>
      </c>
      <c r="C7" s="19" t="s">
        <v>91</v>
      </c>
      <c r="D7" s="19" t="s">
        <v>92</v>
      </c>
      <c r="E7" s="19" t="s">
        <v>93</v>
      </c>
      <c r="F7" s="20" t="n">
        <v>350</v>
      </c>
      <c r="G7" s="20" t="n">
        <v>6500</v>
      </c>
      <c r="H7" s="20" t="n">
        <v>1800</v>
      </c>
      <c r="I7" s="20" t="n">
        <v>600</v>
      </c>
      <c r="J7" s="21" t="n">
        <v>0.1</v>
      </c>
      <c r="K7" s="22" t="n">
        <f aca="false">IF(J7="","",(1-J7)*P9_Cond)</f>
        <v>0.54</v>
      </c>
      <c r="L7" s="22" t="n">
        <f aca="false">IF(J7="","",(1-J7)*(1-P9_Cond))</f>
        <v>0.36</v>
      </c>
      <c r="M7" s="23" t="n">
        <f aca="false">IF(F7="","",F7*(1-TCG_Commission-TCG_Pro_Fee-TCG_Pay_Pct)-TCG_Pay_Fix-Raw_Ship)</f>
        <v>301.825</v>
      </c>
      <c r="N7" s="23" t="n">
        <f aca="false">IF(G7="","",G7*(1-TCG_Commission-TCG_Pro_Fee-TCG_Pay_Pct)-TCG_Pay_Fix-Graded_Ship)</f>
        <v>5630.45</v>
      </c>
      <c r="O7" s="23" t="n">
        <f aca="false">IF(H7="","",H7*(1-TCG_Commission-TCG_Pro_Fee-TCG_Pay_Pct)-TCG_Pay_Fix-Graded_Ship)</f>
        <v>1553.2</v>
      </c>
      <c r="P7" s="23" t="n">
        <f aca="false">IF(I7="","",I7*(1-TCG_Commission-TCG_Pro_Fee-TCG_Pay_Pct)-TCG_Pay_Fix-Graded_Ship)</f>
        <v>512.2</v>
      </c>
      <c r="Q7" s="23" t="n">
        <f aca="false">PSA_Fee+PSA_Ship_Out+PSA_Ship_In+PSA_Supplies</f>
        <v>34</v>
      </c>
      <c r="R7" s="23" t="n">
        <f aca="false">IF(OR(J7="",N7="",O7="",P7=""),"",J7*N7+K7*O7+L7*P7-Q7)</f>
        <v>1552.165</v>
      </c>
      <c r="S7" s="23" t="n">
        <f aca="false">IF(OR(R7="",M7=""),"",R7-M7)</f>
        <v>1250.34</v>
      </c>
      <c r="T7" s="24" t="str">
        <f aca="false">IF(S7="","",IF(S7&gt;Min_Edge,"GRADE",IF(S7&lt;-Min_Edge,"SELL RAW","TOSS-UP")))</f>
        <v>GRADE</v>
      </c>
      <c r="U7" s="22" t="n">
        <f aca="false">IF(OR(N7="",O7="",P7="",M7=""),"",IFERROR((M7+Q7-(P9_Cond*O7+(1-P9_Cond)*P7))/(N7-(P9_Cond*O7+(1-P9_Cond)*P7)),"n/a"))</f>
        <v>-0.178245969312252</v>
      </c>
      <c r="V7" s="22" t="n">
        <f aca="false">IF(OR(J7="",U7="",U7="n/a"),"",J7-U7)</f>
        <v>0.278245969312252</v>
      </c>
      <c r="W7" s="23" t="n">
        <f aca="false">IF(R7="","",R7/(1+Hurdle)^(PSA_Months/12))</f>
        <v>1456.60824127939</v>
      </c>
      <c r="X7" s="23" t="n">
        <f aca="false">IF(OR(W7="",M7=""),"",W7-M7)</f>
        <v>1154.78324127939</v>
      </c>
      <c r="Y7" s="24" t="str">
        <f aca="false">IF(X7="","",IF(X7&gt;Min_Edge,"GRADE",IF(X7&lt;-Min_Edge,"SELL RAW","TOSS-UP")))</f>
        <v>GRADE</v>
      </c>
    </row>
    <row r="8" customFormat="false" ht="18" hidden="false" customHeight="true" outlineLevel="0" collapsed="false">
      <c r="A8" s="18" t="n">
        <v>4</v>
      </c>
      <c r="B8" s="19"/>
      <c r="C8" s="19"/>
      <c r="D8" s="19"/>
      <c r="E8" s="19"/>
      <c r="F8" s="20"/>
      <c r="G8" s="20"/>
      <c r="H8" s="20"/>
      <c r="I8" s="20"/>
      <c r="J8" s="21"/>
      <c r="K8" s="22" t="str">
        <f aca="false">IF(J8="","",(1-J8)*P9_Cond)</f>
        <v/>
      </c>
      <c r="L8" s="22" t="str">
        <f aca="false">IF(J8="","",(1-J8)*(1-P9_Cond))</f>
        <v/>
      </c>
      <c r="M8" s="23" t="str">
        <f aca="false">IF(F8="","",F8*(1-TCG_Commission-TCG_Pro_Fee-TCG_Pay_Pct)-TCG_Pay_Fix-Raw_Ship)</f>
        <v/>
      </c>
      <c r="N8" s="23" t="str">
        <f aca="false">IF(G8="","",G8*(1-TCG_Commission-TCG_Pro_Fee-TCG_Pay_Pct)-TCG_Pay_Fix-Graded_Ship)</f>
        <v/>
      </c>
      <c r="O8" s="23" t="str">
        <f aca="false">IF(H8="","",H8*(1-TCG_Commission-TCG_Pro_Fee-TCG_Pay_Pct)-TCG_Pay_Fix-Graded_Ship)</f>
        <v/>
      </c>
      <c r="P8" s="23" t="str">
        <f aca="false">IF(I8="","",I8*(1-TCG_Commission-TCG_Pro_Fee-TCG_Pay_Pct)-TCG_Pay_Fix-Graded_Ship)</f>
        <v/>
      </c>
      <c r="Q8" s="23" t="n">
        <f aca="false">PSA_Fee+PSA_Ship_Out+PSA_Ship_In+PSA_Supplies</f>
        <v>34</v>
      </c>
      <c r="R8" s="23" t="str">
        <f aca="false">IF(OR(J8="",N8="",O8="",P8=""),"",J8*N8+K8*O8+L8*P8-Q8)</f>
        <v/>
      </c>
      <c r="S8" s="23" t="str">
        <f aca="false">IF(OR(R8="",M8=""),"",R8-M8)</f>
        <v/>
      </c>
      <c r="T8" s="24" t="str">
        <f aca="false">IF(S8="","",IF(S8&gt;Min_Edge,"GRADE",IF(S8&lt;-Min_Edge,"SELL RAW","TOSS-UP")))</f>
        <v/>
      </c>
      <c r="U8" s="22" t="str">
        <f aca="false">IF(OR(N8="",O8="",P8="",M8=""),"",IFERROR((M8+Q8-(P9_Cond*O8+(1-P9_Cond)*P8))/(N8-(P9_Cond*O8+(1-P9_Cond)*P8)),"n/a"))</f>
        <v/>
      </c>
      <c r="V8" s="22" t="str">
        <f aca="false">IF(OR(J8="",U8="",U8="n/a"),"",J8-U8)</f>
        <v/>
      </c>
      <c r="W8" s="23" t="str">
        <f aca="false">IF(R8="","",R8/(1+Hurdle)^(PSA_Months/12))</f>
        <v/>
      </c>
      <c r="X8" s="23" t="str">
        <f aca="false">IF(OR(W8="",M8=""),"",W8-M8)</f>
        <v/>
      </c>
      <c r="Y8" s="24" t="str">
        <f aca="false">IF(X8="","",IF(X8&gt;Min_Edge,"GRADE",IF(X8&lt;-Min_Edge,"SELL RAW","TOSS-UP")))</f>
        <v/>
      </c>
    </row>
    <row r="9" customFormat="false" ht="18" hidden="false" customHeight="true" outlineLevel="0" collapsed="false">
      <c r="A9" s="18" t="n">
        <v>5</v>
      </c>
      <c r="B9" s="19"/>
      <c r="C9" s="19"/>
      <c r="D9" s="19"/>
      <c r="E9" s="19"/>
      <c r="F9" s="20"/>
      <c r="G9" s="20"/>
      <c r="H9" s="20"/>
      <c r="I9" s="20"/>
      <c r="J9" s="21"/>
      <c r="K9" s="22" t="str">
        <f aca="false">IF(J9="","",(1-J9)*P9_Cond)</f>
        <v/>
      </c>
      <c r="L9" s="22" t="str">
        <f aca="false">IF(J9="","",(1-J9)*(1-P9_Cond))</f>
        <v/>
      </c>
      <c r="M9" s="23" t="str">
        <f aca="false">IF(F9="","",F9*(1-TCG_Commission-TCG_Pro_Fee-TCG_Pay_Pct)-TCG_Pay_Fix-Raw_Ship)</f>
        <v/>
      </c>
      <c r="N9" s="23" t="str">
        <f aca="false">IF(G9="","",G9*(1-TCG_Commission-TCG_Pro_Fee-TCG_Pay_Pct)-TCG_Pay_Fix-Graded_Ship)</f>
        <v/>
      </c>
      <c r="O9" s="23" t="str">
        <f aca="false">IF(H9="","",H9*(1-TCG_Commission-TCG_Pro_Fee-TCG_Pay_Pct)-TCG_Pay_Fix-Graded_Ship)</f>
        <v/>
      </c>
      <c r="P9" s="23" t="str">
        <f aca="false">IF(I9="","",I9*(1-TCG_Commission-TCG_Pro_Fee-TCG_Pay_Pct)-TCG_Pay_Fix-Graded_Ship)</f>
        <v/>
      </c>
      <c r="Q9" s="23" t="n">
        <f aca="false">PSA_Fee+PSA_Ship_Out+PSA_Ship_In+PSA_Supplies</f>
        <v>34</v>
      </c>
      <c r="R9" s="23" t="str">
        <f aca="false">IF(OR(J9="",N9="",O9="",P9=""),"",J9*N9+K9*O9+L9*P9-Q9)</f>
        <v/>
      </c>
      <c r="S9" s="23" t="str">
        <f aca="false">IF(OR(R9="",M9=""),"",R9-M9)</f>
        <v/>
      </c>
      <c r="T9" s="24" t="str">
        <f aca="false">IF(S9="","",IF(S9&gt;Min_Edge,"GRADE",IF(S9&lt;-Min_Edge,"SELL RAW","TOSS-UP")))</f>
        <v/>
      </c>
      <c r="U9" s="22" t="str">
        <f aca="false">IF(OR(N9="",O9="",P9="",M9=""),"",IFERROR((M9+Q9-(P9_Cond*O9+(1-P9_Cond)*P9))/(N9-(P9_Cond*O9+(1-P9_Cond)*P9)),"n/a"))</f>
        <v/>
      </c>
      <c r="V9" s="22" t="str">
        <f aca="false">IF(OR(J9="",U9="",U9="n/a"),"",J9-U9)</f>
        <v/>
      </c>
      <c r="W9" s="23" t="str">
        <f aca="false">IF(R9="","",R9/(1+Hurdle)^(PSA_Months/12))</f>
        <v/>
      </c>
      <c r="X9" s="23" t="str">
        <f aca="false">IF(OR(W9="",M9=""),"",W9-M9)</f>
        <v/>
      </c>
      <c r="Y9" s="24" t="str">
        <f aca="false">IF(X9="","",IF(X9&gt;Min_Edge,"GRADE",IF(X9&lt;-Min_Edge,"SELL RAW","TOSS-UP")))</f>
        <v/>
      </c>
    </row>
    <row r="10" customFormat="false" ht="18" hidden="false" customHeight="true" outlineLevel="0" collapsed="false">
      <c r="A10" s="18" t="n">
        <v>6</v>
      </c>
      <c r="B10" s="19"/>
      <c r="C10" s="19"/>
      <c r="D10" s="19"/>
      <c r="E10" s="19"/>
      <c r="F10" s="20"/>
      <c r="G10" s="20"/>
      <c r="H10" s="20"/>
      <c r="I10" s="20"/>
      <c r="J10" s="21"/>
      <c r="K10" s="22" t="str">
        <f aca="false">IF(J10="","",(1-J10)*P9_Cond)</f>
        <v/>
      </c>
      <c r="L10" s="22" t="str">
        <f aca="false">IF(J10="","",(1-J10)*(1-P9_Cond))</f>
        <v/>
      </c>
      <c r="M10" s="23" t="str">
        <f aca="false">IF(F10="","",F10*(1-TCG_Commission-TCG_Pro_Fee-TCG_Pay_Pct)-TCG_Pay_Fix-Raw_Ship)</f>
        <v/>
      </c>
      <c r="N10" s="23" t="str">
        <f aca="false">IF(G10="","",G10*(1-TCG_Commission-TCG_Pro_Fee-TCG_Pay_Pct)-TCG_Pay_Fix-Graded_Ship)</f>
        <v/>
      </c>
      <c r="O10" s="23" t="str">
        <f aca="false">IF(H10="","",H10*(1-TCG_Commission-TCG_Pro_Fee-TCG_Pay_Pct)-TCG_Pay_Fix-Graded_Ship)</f>
        <v/>
      </c>
      <c r="P10" s="23" t="str">
        <f aca="false">IF(I10="","",I10*(1-TCG_Commission-TCG_Pro_Fee-TCG_Pay_Pct)-TCG_Pay_Fix-Graded_Ship)</f>
        <v/>
      </c>
      <c r="Q10" s="23" t="n">
        <f aca="false">PSA_Fee+PSA_Ship_Out+PSA_Ship_In+PSA_Supplies</f>
        <v>34</v>
      </c>
      <c r="R10" s="23" t="str">
        <f aca="false">IF(OR(J10="",N10="",O10="",P10=""),"",J10*N10+K10*O10+L10*P10-Q10)</f>
        <v/>
      </c>
      <c r="S10" s="23" t="str">
        <f aca="false">IF(OR(R10="",M10=""),"",R10-M10)</f>
        <v/>
      </c>
      <c r="T10" s="24" t="str">
        <f aca="false">IF(S10="","",IF(S10&gt;Min_Edge,"GRADE",IF(S10&lt;-Min_Edge,"SELL RAW","TOSS-UP")))</f>
        <v/>
      </c>
      <c r="U10" s="22" t="str">
        <f aca="false">IF(OR(N10="",O10="",P10="",M10=""),"",IFERROR((M10+Q10-(P9_Cond*O10+(1-P9_Cond)*P10))/(N10-(P9_Cond*O10+(1-P9_Cond)*P10)),"n/a"))</f>
        <v/>
      </c>
      <c r="V10" s="22" t="str">
        <f aca="false">IF(OR(J10="",U10="",U10="n/a"),"",J10-U10)</f>
        <v/>
      </c>
      <c r="W10" s="23" t="str">
        <f aca="false">IF(R10="","",R10/(1+Hurdle)^(PSA_Months/12))</f>
        <v/>
      </c>
      <c r="X10" s="23" t="str">
        <f aca="false">IF(OR(W10="",M10=""),"",W10-M10)</f>
        <v/>
      </c>
      <c r="Y10" s="24" t="str">
        <f aca="false">IF(X10="","",IF(X10&gt;Min_Edge,"GRADE",IF(X10&lt;-Min_Edge,"SELL RAW","TOSS-UP")))</f>
        <v/>
      </c>
    </row>
    <row r="11" customFormat="false" ht="18" hidden="false" customHeight="true" outlineLevel="0" collapsed="false">
      <c r="A11" s="18" t="n">
        <v>7</v>
      </c>
      <c r="B11" s="19"/>
      <c r="C11" s="19"/>
      <c r="D11" s="19"/>
      <c r="E11" s="19"/>
      <c r="F11" s="20"/>
      <c r="G11" s="20"/>
      <c r="H11" s="20"/>
      <c r="I11" s="20"/>
      <c r="J11" s="21"/>
      <c r="K11" s="22" t="str">
        <f aca="false">IF(J11="","",(1-J11)*P9_Cond)</f>
        <v/>
      </c>
      <c r="L11" s="22" t="str">
        <f aca="false">IF(J11="","",(1-J11)*(1-P9_Cond))</f>
        <v/>
      </c>
      <c r="M11" s="23" t="str">
        <f aca="false">IF(F11="","",F11*(1-TCG_Commission-TCG_Pro_Fee-TCG_Pay_Pct)-TCG_Pay_Fix-Raw_Ship)</f>
        <v/>
      </c>
      <c r="N11" s="23" t="str">
        <f aca="false">IF(G11="","",G11*(1-TCG_Commission-TCG_Pro_Fee-TCG_Pay_Pct)-TCG_Pay_Fix-Graded_Ship)</f>
        <v/>
      </c>
      <c r="O11" s="23" t="str">
        <f aca="false">IF(H11="","",H11*(1-TCG_Commission-TCG_Pro_Fee-TCG_Pay_Pct)-TCG_Pay_Fix-Graded_Ship)</f>
        <v/>
      </c>
      <c r="P11" s="23" t="str">
        <f aca="false">IF(I11="","",I11*(1-TCG_Commission-TCG_Pro_Fee-TCG_Pay_Pct)-TCG_Pay_Fix-Graded_Ship)</f>
        <v/>
      </c>
      <c r="Q11" s="23" t="n">
        <f aca="false">PSA_Fee+PSA_Ship_Out+PSA_Ship_In+PSA_Supplies</f>
        <v>34</v>
      </c>
      <c r="R11" s="23" t="str">
        <f aca="false">IF(OR(J11="",N11="",O11="",P11=""),"",J11*N11+K11*O11+L11*P11-Q11)</f>
        <v/>
      </c>
      <c r="S11" s="23" t="str">
        <f aca="false">IF(OR(R11="",M11=""),"",R11-M11)</f>
        <v/>
      </c>
      <c r="T11" s="24" t="str">
        <f aca="false">IF(S11="","",IF(S11&gt;Min_Edge,"GRADE",IF(S11&lt;-Min_Edge,"SELL RAW","TOSS-UP")))</f>
        <v/>
      </c>
      <c r="U11" s="22" t="str">
        <f aca="false">IF(OR(N11="",O11="",P11="",M11=""),"",IFERROR((M11+Q11-(P9_Cond*O11+(1-P9_Cond)*P11))/(N11-(P9_Cond*O11+(1-P9_Cond)*P11)),"n/a"))</f>
        <v/>
      </c>
      <c r="V11" s="22" t="str">
        <f aca="false">IF(OR(J11="",U11="",U11="n/a"),"",J11-U11)</f>
        <v/>
      </c>
      <c r="W11" s="23" t="str">
        <f aca="false">IF(R11="","",R11/(1+Hurdle)^(PSA_Months/12))</f>
        <v/>
      </c>
      <c r="X11" s="23" t="str">
        <f aca="false">IF(OR(W11="",M11=""),"",W11-M11)</f>
        <v/>
      </c>
      <c r="Y11" s="24" t="str">
        <f aca="false">IF(X11="","",IF(X11&gt;Min_Edge,"GRADE",IF(X11&lt;-Min_Edge,"SELL RAW","TOSS-UP")))</f>
        <v/>
      </c>
    </row>
    <row r="12" customFormat="false" ht="18" hidden="false" customHeight="true" outlineLevel="0" collapsed="false">
      <c r="A12" s="18" t="n">
        <v>8</v>
      </c>
      <c r="B12" s="19"/>
      <c r="C12" s="19"/>
      <c r="D12" s="19"/>
      <c r="E12" s="19"/>
      <c r="F12" s="20"/>
      <c r="G12" s="20"/>
      <c r="H12" s="20"/>
      <c r="I12" s="20"/>
      <c r="J12" s="21"/>
      <c r="K12" s="22" t="str">
        <f aca="false">IF(J12="","",(1-J12)*P9_Cond)</f>
        <v/>
      </c>
      <c r="L12" s="22" t="str">
        <f aca="false">IF(J12="","",(1-J12)*(1-P9_Cond))</f>
        <v/>
      </c>
      <c r="M12" s="23" t="str">
        <f aca="false">IF(F12="","",F12*(1-TCG_Commission-TCG_Pro_Fee-TCG_Pay_Pct)-TCG_Pay_Fix-Raw_Ship)</f>
        <v/>
      </c>
      <c r="N12" s="23" t="str">
        <f aca="false">IF(G12="","",G12*(1-TCG_Commission-TCG_Pro_Fee-TCG_Pay_Pct)-TCG_Pay_Fix-Graded_Ship)</f>
        <v/>
      </c>
      <c r="O12" s="23" t="str">
        <f aca="false">IF(H12="","",H12*(1-TCG_Commission-TCG_Pro_Fee-TCG_Pay_Pct)-TCG_Pay_Fix-Graded_Ship)</f>
        <v/>
      </c>
      <c r="P12" s="23" t="str">
        <f aca="false">IF(I12="","",I12*(1-TCG_Commission-TCG_Pro_Fee-TCG_Pay_Pct)-TCG_Pay_Fix-Graded_Ship)</f>
        <v/>
      </c>
      <c r="Q12" s="23" t="n">
        <f aca="false">PSA_Fee+PSA_Ship_Out+PSA_Ship_In+PSA_Supplies</f>
        <v>34</v>
      </c>
      <c r="R12" s="23" t="str">
        <f aca="false">IF(OR(J12="",N12="",O12="",P12=""),"",J12*N12+K12*O12+L12*P12-Q12)</f>
        <v/>
      </c>
      <c r="S12" s="23" t="str">
        <f aca="false">IF(OR(R12="",M12=""),"",R12-M12)</f>
        <v/>
      </c>
      <c r="T12" s="24" t="str">
        <f aca="false">IF(S12="","",IF(S12&gt;Min_Edge,"GRADE",IF(S12&lt;-Min_Edge,"SELL RAW","TOSS-UP")))</f>
        <v/>
      </c>
      <c r="U12" s="22" t="str">
        <f aca="false">IF(OR(N12="",O12="",P12="",M12=""),"",IFERROR((M12+Q12-(P9_Cond*O12+(1-P9_Cond)*P12))/(N12-(P9_Cond*O12+(1-P9_Cond)*P12)),"n/a"))</f>
        <v/>
      </c>
      <c r="V12" s="22" t="str">
        <f aca="false">IF(OR(J12="",U12="",U12="n/a"),"",J12-U12)</f>
        <v/>
      </c>
      <c r="W12" s="23" t="str">
        <f aca="false">IF(R12="","",R12/(1+Hurdle)^(PSA_Months/12))</f>
        <v/>
      </c>
      <c r="X12" s="23" t="str">
        <f aca="false">IF(OR(W12="",M12=""),"",W12-M12)</f>
        <v/>
      </c>
      <c r="Y12" s="24" t="str">
        <f aca="false">IF(X12="","",IF(X12&gt;Min_Edge,"GRADE",IF(X12&lt;-Min_Edge,"SELL RAW","TOSS-UP")))</f>
        <v/>
      </c>
    </row>
    <row r="13" customFormat="false" ht="18" hidden="false" customHeight="true" outlineLevel="0" collapsed="false">
      <c r="A13" s="18" t="n">
        <v>9</v>
      </c>
      <c r="B13" s="19"/>
      <c r="C13" s="19"/>
      <c r="D13" s="19"/>
      <c r="E13" s="19"/>
      <c r="F13" s="20"/>
      <c r="G13" s="20"/>
      <c r="H13" s="20"/>
      <c r="I13" s="20"/>
      <c r="J13" s="21"/>
      <c r="K13" s="22" t="str">
        <f aca="false">IF(J13="","",(1-J13)*P9_Cond)</f>
        <v/>
      </c>
      <c r="L13" s="22" t="str">
        <f aca="false">IF(J13="","",(1-J13)*(1-P9_Cond))</f>
        <v/>
      </c>
      <c r="M13" s="23" t="str">
        <f aca="false">IF(F13="","",F13*(1-TCG_Commission-TCG_Pro_Fee-TCG_Pay_Pct)-TCG_Pay_Fix-Raw_Ship)</f>
        <v/>
      </c>
      <c r="N13" s="23" t="str">
        <f aca="false">IF(G13="","",G13*(1-TCG_Commission-TCG_Pro_Fee-TCG_Pay_Pct)-TCG_Pay_Fix-Graded_Ship)</f>
        <v/>
      </c>
      <c r="O13" s="23" t="str">
        <f aca="false">IF(H13="","",H13*(1-TCG_Commission-TCG_Pro_Fee-TCG_Pay_Pct)-TCG_Pay_Fix-Graded_Ship)</f>
        <v/>
      </c>
      <c r="P13" s="23" t="str">
        <f aca="false">IF(I13="","",I13*(1-TCG_Commission-TCG_Pro_Fee-TCG_Pay_Pct)-TCG_Pay_Fix-Graded_Ship)</f>
        <v/>
      </c>
      <c r="Q13" s="23" t="n">
        <f aca="false">PSA_Fee+PSA_Ship_Out+PSA_Ship_In+PSA_Supplies</f>
        <v>34</v>
      </c>
      <c r="R13" s="23" t="str">
        <f aca="false">IF(OR(J13="",N13="",O13="",P13=""),"",J13*N13+K13*O13+L13*P13-Q13)</f>
        <v/>
      </c>
      <c r="S13" s="23" t="str">
        <f aca="false">IF(OR(R13="",M13=""),"",R13-M13)</f>
        <v/>
      </c>
      <c r="T13" s="24" t="str">
        <f aca="false">IF(S13="","",IF(S13&gt;Min_Edge,"GRADE",IF(S13&lt;-Min_Edge,"SELL RAW","TOSS-UP")))</f>
        <v/>
      </c>
      <c r="U13" s="22" t="str">
        <f aca="false">IF(OR(N13="",O13="",P13="",M13=""),"",IFERROR((M13+Q13-(P9_Cond*O13+(1-P9_Cond)*P13))/(N13-(P9_Cond*O13+(1-P9_Cond)*P13)),"n/a"))</f>
        <v/>
      </c>
      <c r="V13" s="22" t="str">
        <f aca="false">IF(OR(J13="",U13="",U13="n/a"),"",J13-U13)</f>
        <v/>
      </c>
      <c r="W13" s="23" t="str">
        <f aca="false">IF(R13="","",R13/(1+Hurdle)^(PSA_Months/12))</f>
        <v/>
      </c>
      <c r="X13" s="23" t="str">
        <f aca="false">IF(OR(W13="",M13=""),"",W13-M13)</f>
        <v/>
      </c>
      <c r="Y13" s="24" t="str">
        <f aca="false">IF(X13="","",IF(X13&gt;Min_Edge,"GRADE",IF(X13&lt;-Min_Edge,"SELL RAW","TOSS-UP")))</f>
        <v/>
      </c>
    </row>
    <row r="14" customFormat="false" ht="18" hidden="false" customHeight="true" outlineLevel="0" collapsed="false">
      <c r="A14" s="18" t="n">
        <v>10</v>
      </c>
      <c r="B14" s="19"/>
      <c r="C14" s="19"/>
      <c r="D14" s="19"/>
      <c r="E14" s="19"/>
      <c r="F14" s="20"/>
      <c r="G14" s="20"/>
      <c r="H14" s="20"/>
      <c r="I14" s="20"/>
      <c r="J14" s="21"/>
      <c r="K14" s="22" t="str">
        <f aca="false">IF(J14="","",(1-J14)*P9_Cond)</f>
        <v/>
      </c>
      <c r="L14" s="22" t="str">
        <f aca="false">IF(J14="","",(1-J14)*(1-P9_Cond))</f>
        <v/>
      </c>
      <c r="M14" s="23" t="str">
        <f aca="false">IF(F14="","",F14*(1-TCG_Commission-TCG_Pro_Fee-TCG_Pay_Pct)-TCG_Pay_Fix-Raw_Ship)</f>
        <v/>
      </c>
      <c r="N14" s="23" t="str">
        <f aca="false">IF(G14="","",G14*(1-TCG_Commission-TCG_Pro_Fee-TCG_Pay_Pct)-TCG_Pay_Fix-Graded_Ship)</f>
        <v/>
      </c>
      <c r="O14" s="23" t="str">
        <f aca="false">IF(H14="","",H14*(1-TCG_Commission-TCG_Pro_Fee-TCG_Pay_Pct)-TCG_Pay_Fix-Graded_Ship)</f>
        <v/>
      </c>
      <c r="P14" s="23" t="str">
        <f aca="false">IF(I14="","",I14*(1-TCG_Commission-TCG_Pro_Fee-TCG_Pay_Pct)-TCG_Pay_Fix-Graded_Ship)</f>
        <v/>
      </c>
      <c r="Q14" s="23" t="n">
        <f aca="false">PSA_Fee+PSA_Ship_Out+PSA_Ship_In+PSA_Supplies</f>
        <v>34</v>
      </c>
      <c r="R14" s="23" t="str">
        <f aca="false">IF(OR(J14="",N14="",O14="",P14=""),"",J14*N14+K14*O14+L14*P14-Q14)</f>
        <v/>
      </c>
      <c r="S14" s="23" t="str">
        <f aca="false">IF(OR(R14="",M14=""),"",R14-M14)</f>
        <v/>
      </c>
      <c r="T14" s="24" t="str">
        <f aca="false">IF(S14="","",IF(S14&gt;Min_Edge,"GRADE",IF(S14&lt;-Min_Edge,"SELL RAW","TOSS-UP")))</f>
        <v/>
      </c>
      <c r="U14" s="22" t="str">
        <f aca="false">IF(OR(N14="",O14="",P14="",M14=""),"",IFERROR((M14+Q14-(P9_Cond*O14+(1-P9_Cond)*P14))/(N14-(P9_Cond*O14+(1-P9_Cond)*P14)),"n/a"))</f>
        <v/>
      </c>
      <c r="V14" s="22" t="str">
        <f aca="false">IF(OR(J14="",U14="",U14="n/a"),"",J14-U14)</f>
        <v/>
      </c>
      <c r="W14" s="23" t="str">
        <f aca="false">IF(R14="","",R14/(1+Hurdle)^(PSA_Months/12))</f>
        <v/>
      </c>
      <c r="X14" s="23" t="str">
        <f aca="false">IF(OR(W14="",M14=""),"",W14-M14)</f>
        <v/>
      </c>
      <c r="Y14" s="24" t="str">
        <f aca="false">IF(X14="","",IF(X14&gt;Min_Edge,"GRADE",IF(X14&lt;-Min_Edge,"SELL RAW","TOSS-UP")))</f>
        <v/>
      </c>
    </row>
    <row r="15" customFormat="false" ht="18" hidden="false" customHeight="true" outlineLevel="0" collapsed="false">
      <c r="A15" s="18" t="n">
        <v>11</v>
      </c>
      <c r="B15" s="19"/>
      <c r="C15" s="19"/>
      <c r="D15" s="19"/>
      <c r="E15" s="19"/>
      <c r="F15" s="20"/>
      <c r="G15" s="20"/>
      <c r="H15" s="20"/>
      <c r="I15" s="20"/>
      <c r="J15" s="21"/>
      <c r="K15" s="22" t="str">
        <f aca="false">IF(J15="","",(1-J15)*P9_Cond)</f>
        <v/>
      </c>
      <c r="L15" s="22" t="str">
        <f aca="false">IF(J15="","",(1-J15)*(1-P9_Cond))</f>
        <v/>
      </c>
      <c r="M15" s="23" t="str">
        <f aca="false">IF(F15="","",F15*(1-TCG_Commission-TCG_Pro_Fee-TCG_Pay_Pct)-TCG_Pay_Fix-Raw_Ship)</f>
        <v/>
      </c>
      <c r="N15" s="23" t="str">
        <f aca="false">IF(G15="","",G15*(1-TCG_Commission-TCG_Pro_Fee-TCG_Pay_Pct)-TCG_Pay_Fix-Graded_Ship)</f>
        <v/>
      </c>
      <c r="O15" s="23" t="str">
        <f aca="false">IF(H15="","",H15*(1-TCG_Commission-TCG_Pro_Fee-TCG_Pay_Pct)-TCG_Pay_Fix-Graded_Ship)</f>
        <v/>
      </c>
      <c r="P15" s="23" t="str">
        <f aca="false">IF(I15="","",I15*(1-TCG_Commission-TCG_Pro_Fee-TCG_Pay_Pct)-TCG_Pay_Fix-Graded_Ship)</f>
        <v/>
      </c>
      <c r="Q15" s="23" t="n">
        <f aca="false">PSA_Fee+PSA_Ship_Out+PSA_Ship_In+PSA_Supplies</f>
        <v>34</v>
      </c>
      <c r="R15" s="23" t="str">
        <f aca="false">IF(OR(J15="",N15="",O15="",P15=""),"",J15*N15+K15*O15+L15*P15-Q15)</f>
        <v/>
      </c>
      <c r="S15" s="23" t="str">
        <f aca="false">IF(OR(R15="",M15=""),"",R15-M15)</f>
        <v/>
      </c>
      <c r="T15" s="24" t="str">
        <f aca="false">IF(S15="","",IF(S15&gt;Min_Edge,"GRADE",IF(S15&lt;-Min_Edge,"SELL RAW","TOSS-UP")))</f>
        <v/>
      </c>
      <c r="U15" s="22" t="str">
        <f aca="false">IF(OR(N15="",O15="",P15="",M15=""),"",IFERROR((M15+Q15-(P9_Cond*O15+(1-P9_Cond)*P15))/(N15-(P9_Cond*O15+(1-P9_Cond)*P15)),"n/a"))</f>
        <v/>
      </c>
      <c r="V15" s="22" t="str">
        <f aca="false">IF(OR(J15="",U15="",U15="n/a"),"",J15-U15)</f>
        <v/>
      </c>
      <c r="W15" s="23" t="str">
        <f aca="false">IF(R15="","",R15/(1+Hurdle)^(PSA_Months/12))</f>
        <v/>
      </c>
      <c r="X15" s="23" t="str">
        <f aca="false">IF(OR(W15="",M15=""),"",W15-M15)</f>
        <v/>
      </c>
      <c r="Y15" s="24" t="str">
        <f aca="false">IF(X15="","",IF(X15&gt;Min_Edge,"GRADE",IF(X15&lt;-Min_Edge,"SELL RAW","TOSS-UP")))</f>
        <v/>
      </c>
    </row>
    <row r="16" customFormat="false" ht="18" hidden="false" customHeight="true" outlineLevel="0" collapsed="false">
      <c r="A16" s="18" t="n">
        <v>12</v>
      </c>
      <c r="B16" s="19"/>
      <c r="C16" s="19"/>
      <c r="D16" s="19"/>
      <c r="E16" s="19"/>
      <c r="F16" s="20"/>
      <c r="G16" s="20"/>
      <c r="H16" s="20"/>
      <c r="I16" s="20"/>
      <c r="J16" s="21"/>
      <c r="K16" s="22" t="str">
        <f aca="false">IF(J16="","",(1-J16)*P9_Cond)</f>
        <v/>
      </c>
      <c r="L16" s="22" t="str">
        <f aca="false">IF(J16="","",(1-J16)*(1-P9_Cond))</f>
        <v/>
      </c>
      <c r="M16" s="23" t="str">
        <f aca="false">IF(F16="","",F16*(1-TCG_Commission-TCG_Pro_Fee-TCG_Pay_Pct)-TCG_Pay_Fix-Raw_Ship)</f>
        <v/>
      </c>
      <c r="N16" s="23" t="str">
        <f aca="false">IF(G16="","",G16*(1-TCG_Commission-TCG_Pro_Fee-TCG_Pay_Pct)-TCG_Pay_Fix-Graded_Ship)</f>
        <v/>
      </c>
      <c r="O16" s="23" t="str">
        <f aca="false">IF(H16="","",H16*(1-TCG_Commission-TCG_Pro_Fee-TCG_Pay_Pct)-TCG_Pay_Fix-Graded_Ship)</f>
        <v/>
      </c>
      <c r="P16" s="23" t="str">
        <f aca="false">IF(I16="","",I16*(1-TCG_Commission-TCG_Pro_Fee-TCG_Pay_Pct)-TCG_Pay_Fix-Graded_Ship)</f>
        <v/>
      </c>
      <c r="Q16" s="23" t="n">
        <f aca="false">PSA_Fee+PSA_Ship_Out+PSA_Ship_In+PSA_Supplies</f>
        <v>34</v>
      </c>
      <c r="R16" s="23" t="str">
        <f aca="false">IF(OR(J16="",N16="",O16="",P16=""),"",J16*N16+K16*O16+L16*P16-Q16)</f>
        <v/>
      </c>
      <c r="S16" s="23" t="str">
        <f aca="false">IF(OR(R16="",M16=""),"",R16-M16)</f>
        <v/>
      </c>
      <c r="T16" s="24" t="str">
        <f aca="false">IF(S16="","",IF(S16&gt;Min_Edge,"GRADE",IF(S16&lt;-Min_Edge,"SELL RAW","TOSS-UP")))</f>
        <v/>
      </c>
      <c r="U16" s="22" t="str">
        <f aca="false">IF(OR(N16="",O16="",P16="",M16=""),"",IFERROR((M16+Q16-(P9_Cond*O16+(1-P9_Cond)*P16))/(N16-(P9_Cond*O16+(1-P9_Cond)*P16)),"n/a"))</f>
        <v/>
      </c>
      <c r="V16" s="22" t="str">
        <f aca="false">IF(OR(J16="",U16="",U16="n/a"),"",J16-U16)</f>
        <v/>
      </c>
      <c r="W16" s="23" t="str">
        <f aca="false">IF(R16="","",R16/(1+Hurdle)^(PSA_Months/12))</f>
        <v/>
      </c>
      <c r="X16" s="23" t="str">
        <f aca="false">IF(OR(W16="",M16=""),"",W16-M16)</f>
        <v/>
      </c>
      <c r="Y16" s="24" t="str">
        <f aca="false">IF(X16="","",IF(X16&gt;Min_Edge,"GRADE",IF(X16&lt;-Min_Edge,"SELL RAW","TOSS-UP")))</f>
        <v/>
      </c>
    </row>
    <row r="17" customFormat="false" ht="18" hidden="false" customHeight="true" outlineLevel="0" collapsed="false">
      <c r="A17" s="18" t="n">
        <v>13</v>
      </c>
      <c r="B17" s="19"/>
      <c r="C17" s="19"/>
      <c r="D17" s="19"/>
      <c r="E17" s="19"/>
      <c r="F17" s="20"/>
      <c r="G17" s="20"/>
      <c r="H17" s="20"/>
      <c r="I17" s="20"/>
      <c r="J17" s="21"/>
      <c r="K17" s="22" t="str">
        <f aca="false">IF(J17="","",(1-J17)*P9_Cond)</f>
        <v/>
      </c>
      <c r="L17" s="22" t="str">
        <f aca="false">IF(J17="","",(1-J17)*(1-P9_Cond))</f>
        <v/>
      </c>
      <c r="M17" s="23" t="str">
        <f aca="false">IF(F17="","",F17*(1-TCG_Commission-TCG_Pro_Fee-TCG_Pay_Pct)-TCG_Pay_Fix-Raw_Ship)</f>
        <v/>
      </c>
      <c r="N17" s="23" t="str">
        <f aca="false">IF(G17="","",G17*(1-TCG_Commission-TCG_Pro_Fee-TCG_Pay_Pct)-TCG_Pay_Fix-Graded_Ship)</f>
        <v/>
      </c>
      <c r="O17" s="23" t="str">
        <f aca="false">IF(H17="","",H17*(1-TCG_Commission-TCG_Pro_Fee-TCG_Pay_Pct)-TCG_Pay_Fix-Graded_Ship)</f>
        <v/>
      </c>
      <c r="P17" s="23" t="str">
        <f aca="false">IF(I17="","",I17*(1-TCG_Commission-TCG_Pro_Fee-TCG_Pay_Pct)-TCG_Pay_Fix-Graded_Ship)</f>
        <v/>
      </c>
      <c r="Q17" s="23" t="n">
        <f aca="false">PSA_Fee+PSA_Ship_Out+PSA_Ship_In+PSA_Supplies</f>
        <v>34</v>
      </c>
      <c r="R17" s="23" t="str">
        <f aca="false">IF(OR(J17="",N17="",O17="",P17=""),"",J17*N17+K17*O17+L17*P17-Q17)</f>
        <v/>
      </c>
      <c r="S17" s="23" t="str">
        <f aca="false">IF(OR(R17="",M17=""),"",R17-M17)</f>
        <v/>
      </c>
      <c r="T17" s="24" t="str">
        <f aca="false">IF(S17="","",IF(S17&gt;Min_Edge,"GRADE",IF(S17&lt;-Min_Edge,"SELL RAW","TOSS-UP")))</f>
        <v/>
      </c>
      <c r="U17" s="22" t="str">
        <f aca="false">IF(OR(N17="",O17="",P17="",M17=""),"",IFERROR((M17+Q17-(P9_Cond*O17+(1-P9_Cond)*P17))/(N17-(P9_Cond*O17+(1-P9_Cond)*P17)),"n/a"))</f>
        <v/>
      </c>
      <c r="V17" s="22" t="str">
        <f aca="false">IF(OR(J17="",U17="",U17="n/a"),"",J17-U17)</f>
        <v/>
      </c>
      <c r="W17" s="23" t="str">
        <f aca="false">IF(R17="","",R17/(1+Hurdle)^(PSA_Months/12))</f>
        <v/>
      </c>
      <c r="X17" s="23" t="str">
        <f aca="false">IF(OR(W17="",M17=""),"",W17-M17)</f>
        <v/>
      </c>
      <c r="Y17" s="24" t="str">
        <f aca="false">IF(X17="","",IF(X17&gt;Min_Edge,"GRADE",IF(X17&lt;-Min_Edge,"SELL RAW","TOSS-UP")))</f>
        <v/>
      </c>
    </row>
    <row r="18" customFormat="false" ht="18" hidden="false" customHeight="true" outlineLevel="0" collapsed="false">
      <c r="A18" s="18" t="n">
        <v>14</v>
      </c>
      <c r="B18" s="19"/>
      <c r="C18" s="19"/>
      <c r="D18" s="19"/>
      <c r="E18" s="19"/>
      <c r="F18" s="20"/>
      <c r="G18" s="20"/>
      <c r="H18" s="20"/>
      <c r="I18" s="20"/>
      <c r="J18" s="21"/>
      <c r="K18" s="22" t="str">
        <f aca="false">IF(J18="","",(1-J18)*P9_Cond)</f>
        <v/>
      </c>
      <c r="L18" s="22" t="str">
        <f aca="false">IF(J18="","",(1-J18)*(1-P9_Cond))</f>
        <v/>
      </c>
      <c r="M18" s="23" t="str">
        <f aca="false">IF(F18="","",F18*(1-TCG_Commission-TCG_Pro_Fee-TCG_Pay_Pct)-TCG_Pay_Fix-Raw_Ship)</f>
        <v/>
      </c>
      <c r="N18" s="23" t="str">
        <f aca="false">IF(G18="","",G18*(1-TCG_Commission-TCG_Pro_Fee-TCG_Pay_Pct)-TCG_Pay_Fix-Graded_Ship)</f>
        <v/>
      </c>
      <c r="O18" s="23" t="str">
        <f aca="false">IF(H18="","",H18*(1-TCG_Commission-TCG_Pro_Fee-TCG_Pay_Pct)-TCG_Pay_Fix-Graded_Ship)</f>
        <v/>
      </c>
      <c r="P18" s="23" t="str">
        <f aca="false">IF(I18="","",I18*(1-TCG_Commission-TCG_Pro_Fee-TCG_Pay_Pct)-TCG_Pay_Fix-Graded_Ship)</f>
        <v/>
      </c>
      <c r="Q18" s="23" t="n">
        <f aca="false">PSA_Fee+PSA_Ship_Out+PSA_Ship_In+PSA_Supplies</f>
        <v>34</v>
      </c>
      <c r="R18" s="23" t="str">
        <f aca="false">IF(OR(J18="",N18="",O18="",P18=""),"",J18*N18+K18*O18+L18*P18-Q18)</f>
        <v/>
      </c>
      <c r="S18" s="23" t="str">
        <f aca="false">IF(OR(R18="",M18=""),"",R18-M18)</f>
        <v/>
      </c>
      <c r="T18" s="24" t="str">
        <f aca="false">IF(S18="","",IF(S18&gt;Min_Edge,"GRADE",IF(S18&lt;-Min_Edge,"SELL RAW","TOSS-UP")))</f>
        <v/>
      </c>
      <c r="U18" s="22" t="str">
        <f aca="false">IF(OR(N18="",O18="",P18="",M18=""),"",IFERROR((M18+Q18-(P9_Cond*O18+(1-P9_Cond)*P18))/(N18-(P9_Cond*O18+(1-P9_Cond)*P18)),"n/a"))</f>
        <v/>
      </c>
      <c r="V18" s="22" t="str">
        <f aca="false">IF(OR(J18="",U18="",U18="n/a"),"",J18-U18)</f>
        <v/>
      </c>
      <c r="W18" s="23" t="str">
        <f aca="false">IF(R18="","",R18/(1+Hurdle)^(PSA_Months/12))</f>
        <v/>
      </c>
      <c r="X18" s="23" t="str">
        <f aca="false">IF(OR(W18="",M18=""),"",W18-M18)</f>
        <v/>
      </c>
      <c r="Y18" s="24" t="str">
        <f aca="false">IF(X18="","",IF(X18&gt;Min_Edge,"GRADE",IF(X18&lt;-Min_Edge,"SELL RAW","TOSS-UP")))</f>
        <v/>
      </c>
    </row>
    <row r="19" customFormat="false" ht="18" hidden="false" customHeight="true" outlineLevel="0" collapsed="false">
      <c r="A19" s="18" t="n">
        <v>15</v>
      </c>
      <c r="B19" s="19"/>
      <c r="C19" s="19"/>
      <c r="D19" s="19"/>
      <c r="E19" s="19"/>
      <c r="F19" s="20"/>
      <c r="G19" s="20"/>
      <c r="H19" s="20"/>
      <c r="I19" s="20"/>
      <c r="J19" s="21"/>
      <c r="K19" s="22" t="str">
        <f aca="false">IF(J19="","",(1-J19)*P9_Cond)</f>
        <v/>
      </c>
      <c r="L19" s="22" t="str">
        <f aca="false">IF(J19="","",(1-J19)*(1-P9_Cond))</f>
        <v/>
      </c>
      <c r="M19" s="23" t="str">
        <f aca="false">IF(F19="","",F19*(1-TCG_Commission-TCG_Pro_Fee-TCG_Pay_Pct)-TCG_Pay_Fix-Raw_Ship)</f>
        <v/>
      </c>
      <c r="N19" s="23" t="str">
        <f aca="false">IF(G19="","",G19*(1-TCG_Commission-TCG_Pro_Fee-TCG_Pay_Pct)-TCG_Pay_Fix-Graded_Ship)</f>
        <v/>
      </c>
      <c r="O19" s="23" t="str">
        <f aca="false">IF(H19="","",H19*(1-TCG_Commission-TCG_Pro_Fee-TCG_Pay_Pct)-TCG_Pay_Fix-Graded_Ship)</f>
        <v/>
      </c>
      <c r="P19" s="23" t="str">
        <f aca="false">IF(I19="","",I19*(1-TCG_Commission-TCG_Pro_Fee-TCG_Pay_Pct)-TCG_Pay_Fix-Graded_Ship)</f>
        <v/>
      </c>
      <c r="Q19" s="23" t="n">
        <f aca="false">PSA_Fee+PSA_Ship_Out+PSA_Ship_In+PSA_Supplies</f>
        <v>34</v>
      </c>
      <c r="R19" s="23" t="str">
        <f aca="false">IF(OR(J19="",N19="",O19="",P19=""),"",J19*N19+K19*O19+L19*P19-Q19)</f>
        <v/>
      </c>
      <c r="S19" s="23" t="str">
        <f aca="false">IF(OR(R19="",M19=""),"",R19-M19)</f>
        <v/>
      </c>
      <c r="T19" s="24" t="str">
        <f aca="false">IF(S19="","",IF(S19&gt;Min_Edge,"GRADE",IF(S19&lt;-Min_Edge,"SELL RAW","TOSS-UP")))</f>
        <v/>
      </c>
      <c r="U19" s="22" t="str">
        <f aca="false">IF(OR(N19="",O19="",P19="",M19=""),"",IFERROR((M19+Q19-(P9_Cond*O19+(1-P9_Cond)*P19))/(N19-(P9_Cond*O19+(1-P9_Cond)*P19)),"n/a"))</f>
        <v/>
      </c>
      <c r="V19" s="22" t="str">
        <f aca="false">IF(OR(J19="",U19="",U19="n/a"),"",J19-U19)</f>
        <v/>
      </c>
      <c r="W19" s="23" t="str">
        <f aca="false">IF(R19="","",R19/(1+Hurdle)^(PSA_Months/12))</f>
        <v/>
      </c>
      <c r="X19" s="23" t="str">
        <f aca="false">IF(OR(W19="",M19=""),"",W19-M19)</f>
        <v/>
      </c>
      <c r="Y19" s="24" t="str">
        <f aca="false">IF(X19="","",IF(X19&gt;Min_Edge,"GRADE",IF(X19&lt;-Min_Edge,"SELL RAW","TOSS-UP")))</f>
        <v/>
      </c>
    </row>
    <row r="20" customFormat="false" ht="18" hidden="false" customHeight="true" outlineLevel="0" collapsed="false">
      <c r="A20" s="18" t="n">
        <v>16</v>
      </c>
      <c r="B20" s="19"/>
      <c r="C20" s="19"/>
      <c r="D20" s="19"/>
      <c r="E20" s="19"/>
      <c r="F20" s="20"/>
      <c r="G20" s="20"/>
      <c r="H20" s="20"/>
      <c r="I20" s="20"/>
      <c r="J20" s="21"/>
      <c r="K20" s="22" t="str">
        <f aca="false">IF(J20="","",(1-J20)*P9_Cond)</f>
        <v/>
      </c>
      <c r="L20" s="22" t="str">
        <f aca="false">IF(J20="","",(1-J20)*(1-P9_Cond))</f>
        <v/>
      </c>
      <c r="M20" s="23" t="str">
        <f aca="false">IF(F20="","",F20*(1-TCG_Commission-TCG_Pro_Fee-TCG_Pay_Pct)-TCG_Pay_Fix-Raw_Ship)</f>
        <v/>
      </c>
      <c r="N20" s="23" t="str">
        <f aca="false">IF(G20="","",G20*(1-TCG_Commission-TCG_Pro_Fee-TCG_Pay_Pct)-TCG_Pay_Fix-Graded_Ship)</f>
        <v/>
      </c>
      <c r="O20" s="23" t="str">
        <f aca="false">IF(H20="","",H20*(1-TCG_Commission-TCG_Pro_Fee-TCG_Pay_Pct)-TCG_Pay_Fix-Graded_Ship)</f>
        <v/>
      </c>
      <c r="P20" s="23" t="str">
        <f aca="false">IF(I20="","",I20*(1-TCG_Commission-TCG_Pro_Fee-TCG_Pay_Pct)-TCG_Pay_Fix-Graded_Ship)</f>
        <v/>
      </c>
      <c r="Q20" s="23" t="n">
        <f aca="false">PSA_Fee+PSA_Ship_Out+PSA_Ship_In+PSA_Supplies</f>
        <v>34</v>
      </c>
      <c r="R20" s="23" t="str">
        <f aca="false">IF(OR(J20="",N20="",O20="",P20=""),"",J20*N20+K20*O20+L20*P20-Q20)</f>
        <v/>
      </c>
      <c r="S20" s="23" t="str">
        <f aca="false">IF(OR(R20="",M20=""),"",R20-M20)</f>
        <v/>
      </c>
      <c r="T20" s="24" t="str">
        <f aca="false">IF(S20="","",IF(S20&gt;Min_Edge,"GRADE",IF(S20&lt;-Min_Edge,"SELL RAW","TOSS-UP")))</f>
        <v/>
      </c>
      <c r="U20" s="22" t="str">
        <f aca="false">IF(OR(N20="",O20="",P20="",M20=""),"",IFERROR((M20+Q20-(P9_Cond*O20+(1-P9_Cond)*P20))/(N20-(P9_Cond*O20+(1-P9_Cond)*P20)),"n/a"))</f>
        <v/>
      </c>
      <c r="V20" s="22" t="str">
        <f aca="false">IF(OR(J20="",U20="",U20="n/a"),"",J20-U20)</f>
        <v/>
      </c>
      <c r="W20" s="23" t="str">
        <f aca="false">IF(R20="","",R20/(1+Hurdle)^(PSA_Months/12))</f>
        <v/>
      </c>
      <c r="X20" s="23" t="str">
        <f aca="false">IF(OR(W20="",M20=""),"",W20-M20)</f>
        <v/>
      </c>
      <c r="Y20" s="24" t="str">
        <f aca="false">IF(X20="","",IF(X20&gt;Min_Edge,"GRADE",IF(X20&lt;-Min_Edge,"SELL RAW","TOSS-UP")))</f>
        <v/>
      </c>
    </row>
    <row r="21" customFormat="false" ht="18" hidden="false" customHeight="true" outlineLevel="0" collapsed="false">
      <c r="A21" s="18" t="n">
        <v>17</v>
      </c>
      <c r="B21" s="19"/>
      <c r="C21" s="19"/>
      <c r="D21" s="19"/>
      <c r="E21" s="19"/>
      <c r="F21" s="20"/>
      <c r="G21" s="20"/>
      <c r="H21" s="20"/>
      <c r="I21" s="20"/>
      <c r="J21" s="21"/>
      <c r="K21" s="22" t="str">
        <f aca="false">IF(J21="","",(1-J21)*P9_Cond)</f>
        <v/>
      </c>
      <c r="L21" s="22" t="str">
        <f aca="false">IF(J21="","",(1-J21)*(1-P9_Cond))</f>
        <v/>
      </c>
      <c r="M21" s="23" t="str">
        <f aca="false">IF(F21="","",F21*(1-TCG_Commission-TCG_Pro_Fee-TCG_Pay_Pct)-TCG_Pay_Fix-Raw_Ship)</f>
        <v/>
      </c>
      <c r="N21" s="23" t="str">
        <f aca="false">IF(G21="","",G21*(1-TCG_Commission-TCG_Pro_Fee-TCG_Pay_Pct)-TCG_Pay_Fix-Graded_Ship)</f>
        <v/>
      </c>
      <c r="O21" s="23" t="str">
        <f aca="false">IF(H21="","",H21*(1-TCG_Commission-TCG_Pro_Fee-TCG_Pay_Pct)-TCG_Pay_Fix-Graded_Ship)</f>
        <v/>
      </c>
      <c r="P21" s="23" t="str">
        <f aca="false">IF(I21="","",I21*(1-TCG_Commission-TCG_Pro_Fee-TCG_Pay_Pct)-TCG_Pay_Fix-Graded_Ship)</f>
        <v/>
      </c>
      <c r="Q21" s="23" t="n">
        <f aca="false">PSA_Fee+PSA_Ship_Out+PSA_Ship_In+PSA_Supplies</f>
        <v>34</v>
      </c>
      <c r="R21" s="23" t="str">
        <f aca="false">IF(OR(J21="",N21="",O21="",P21=""),"",J21*N21+K21*O21+L21*P21-Q21)</f>
        <v/>
      </c>
      <c r="S21" s="23" t="str">
        <f aca="false">IF(OR(R21="",M21=""),"",R21-M21)</f>
        <v/>
      </c>
      <c r="T21" s="24" t="str">
        <f aca="false">IF(S21="","",IF(S21&gt;Min_Edge,"GRADE",IF(S21&lt;-Min_Edge,"SELL RAW","TOSS-UP")))</f>
        <v/>
      </c>
      <c r="U21" s="22" t="str">
        <f aca="false">IF(OR(N21="",O21="",P21="",M21=""),"",IFERROR((M21+Q21-(P9_Cond*O21+(1-P9_Cond)*P21))/(N21-(P9_Cond*O21+(1-P9_Cond)*P21)),"n/a"))</f>
        <v/>
      </c>
      <c r="V21" s="22" t="str">
        <f aca="false">IF(OR(J21="",U21="",U21="n/a"),"",J21-U21)</f>
        <v/>
      </c>
      <c r="W21" s="23" t="str">
        <f aca="false">IF(R21="","",R21/(1+Hurdle)^(PSA_Months/12))</f>
        <v/>
      </c>
      <c r="X21" s="23" t="str">
        <f aca="false">IF(OR(W21="",M21=""),"",W21-M21)</f>
        <v/>
      </c>
      <c r="Y21" s="24" t="str">
        <f aca="false">IF(X21="","",IF(X21&gt;Min_Edge,"GRADE",IF(X21&lt;-Min_Edge,"SELL RAW","TOSS-UP")))</f>
        <v/>
      </c>
    </row>
    <row r="22" customFormat="false" ht="18" hidden="false" customHeight="true" outlineLevel="0" collapsed="false">
      <c r="A22" s="18" t="n">
        <v>18</v>
      </c>
      <c r="B22" s="19"/>
      <c r="C22" s="19"/>
      <c r="D22" s="19"/>
      <c r="E22" s="19"/>
      <c r="F22" s="20"/>
      <c r="G22" s="20"/>
      <c r="H22" s="20"/>
      <c r="I22" s="20"/>
      <c r="J22" s="21"/>
      <c r="K22" s="22" t="str">
        <f aca="false">IF(J22="","",(1-J22)*P9_Cond)</f>
        <v/>
      </c>
      <c r="L22" s="22" t="str">
        <f aca="false">IF(J22="","",(1-J22)*(1-P9_Cond))</f>
        <v/>
      </c>
      <c r="M22" s="23" t="str">
        <f aca="false">IF(F22="","",F22*(1-TCG_Commission-TCG_Pro_Fee-TCG_Pay_Pct)-TCG_Pay_Fix-Raw_Ship)</f>
        <v/>
      </c>
      <c r="N22" s="23" t="str">
        <f aca="false">IF(G22="","",G22*(1-TCG_Commission-TCG_Pro_Fee-TCG_Pay_Pct)-TCG_Pay_Fix-Graded_Ship)</f>
        <v/>
      </c>
      <c r="O22" s="23" t="str">
        <f aca="false">IF(H22="","",H22*(1-TCG_Commission-TCG_Pro_Fee-TCG_Pay_Pct)-TCG_Pay_Fix-Graded_Ship)</f>
        <v/>
      </c>
      <c r="P22" s="23" t="str">
        <f aca="false">IF(I22="","",I22*(1-TCG_Commission-TCG_Pro_Fee-TCG_Pay_Pct)-TCG_Pay_Fix-Graded_Ship)</f>
        <v/>
      </c>
      <c r="Q22" s="23" t="n">
        <f aca="false">PSA_Fee+PSA_Ship_Out+PSA_Ship_In+PSA_Supplies</f>
        <v>34</v>
      </c>
      <c r="R22" s="23" t="str">
        <f aca="false">IF(OR(J22="",N22="",O22="",P22=""),"",J22*N22+K22*O22+L22*P22-Q22)</f>
        <v/>
      </c>
      <c r="S22" s="23" t="str">
        <f aca="false">IF(OR(R22="",M22=""),"",R22-M22)</f>
        <v/>
      </c>
      <c r="T22" s="24" t="str">
        <f aca="false">IF(S22="","",IF(S22&gt;Min_Edge,"GRADE",IF(S22&lt;-Min_Edge,"SELL RAW","TOSS-UP")))</f>
        <v/>
      </c>
      <c r="U22" s="22" t="str">
        <f aca="false">IF(OR(N22="",O22="",P22="",M22=""),"",IFERROR((M22+Q22-(P9_Cond*O22+(1-P9_Cond)*P22))/(N22-(P9_Cond*O22+(1-P9_Cond)*P22)),"n/a"))</f>
        <v/>
      </c>
      <c r="V22" s="22" t="str">
        <f aca="false">IF(OR(J22="",U22="",U22="n/a"),"",J22-U22)</f>
        <v/>
      </c>
      <c r="W22" s="23" t="str">
        <f aca="false">IF(R22="","",R22/(1+Hurdle)^(PSA_Months/12))</f>
        <v/>
      </c>
      <c r="X22" s="23" t="str">
        <f aca="false">IF(OR(W22="",M22=""),"",W22-M22)</f>
        <v/>
      </c>
      <c r="Y22" s="24" t="str">
        <f aca="false">IF(X22="","",IF(X22&gt;Min_Edge,"GRADE",IF(X22&lt;-Min_Edge,"SELL RAW","TOSS-UP")))</f>
        <v/>
      </c>
    </row>
    <row r="23" customFormat="false" ht="18" hidden="false" customHeight="true" outlineLevel="0" collapsed="false">
      <c r="A23" s="18" t="n">
        <v>19</v>
      </c>
      <c r="B23" s="19"/>
      <c r="C23" s="19"/>
      <c r="D23" s="19"/>
      <c r="E23" s="19"/>
      <c r="F23" s="20"/>
      <c r="G23" s="20"/>
      <c r="H23" s="20"/>
      <c r="I23" s="20"/>
      <c r="J23" s="21"/>
      <c r="K23" s="22" t="str">
        <f aca="false">IF(J23="","",(1-J23)*P9_Cond)</f>
        <v/>
      </c>
      <c r="L23" s="22" t="str">
        <f aca="false">IF(J23="","",(1-J23)*(1-P9_Cond))</f>
        <v/>
      </c>
      <c r="M23" s="23" t="str">
        <f aca="false">IF(F23="","",F23*(1-TCG_Commission-TCG_Pro_Fee-TCG_Pay_Pct)-TCG_Pay_Fix-Raw_Ship)</f>
        <v/>
      </c>
      <c r="N23" s="23" t="str">
        <f aca="false">IF(G23="","",G23*(1-TCG_Commission-TCG_Pro_Fee-TCG_Pay_Pct)-TCG_Pay_Fix-Graded_Ship)</f>
        <v/>
      </c>
      <c r="O23" s="23" t="str">
        <f aca="false">IF(H23="","",H23*(1-TCG_Commission-TCG_Pro_Fee-TCG_Pay_Pct)-TCG_Pay_Fix-Graded_Ship)</f>
        <v/>
      </c>
      <c r="P23" s="23" t="str">
        <f aca="false">IF(I23="","",I23*(1-TCG_Commission-TCG_Pro_Fee-TCG_Pay_Pct)-TCG_Pay_Fix-Graded_Ship)</f>
        <v/>
      </c>
      <c r="Q23" s="23" t="n">
        <f aca="false">PSA_Fee+PSA_Ship_Out+PSA_Ship_In+PSA_Supplies</f>
        <v>34</v>
      </c>
      <c r="R23" s="23" t="str">
        <f aca="false">IF(OR(J23="",N23="",O23="",P23=""),"",J23*N23+K23*O23+L23*P23-Q23)</f>
        <v/>
      </c>
      <c r="S23" s="23" t="str">
        <f aca="false">IF(OR(R23="",M23=""),"",R23-M23)</f>
        <v/>
      </c>
      <c r="T23" s="24" t="str">
        <f aca="false">IF(S23="","",IF(S23&gt;Min_Edge,"GRADE",IF(S23&lt;-Min_Edge,"SELL RAW","TOSS-UP")))</f>
        <v/>
      </c>
      <c r="U23" s="22" t="str">
        <f aca="false">IF(OR(N23="",O23="",P23="",M23=""),"",IFERROR((M23+Q23-(P9_Cond*O23+(1-P9_Cond)*P23))/(N23-(P9_Cond*O23+(1-P9_Cond)*P23)),"n/a"))</f>
        <v/>
      </c>
      <c r="V23" s="22" t="str">
        <f aca="false">IF(OR(J23="",U23="",U23="n/a"),"",J23-U23)</f>
        <v/>
      </c>
      <c r="W23" s="23" t="str">
        <f aca="false">IF(R23="","",R23/(1+Hurdle)^(PSA_Months/12))</f>
        <v/>
      </c>
      <c r="X23" s="23" t="str">
        <f aca="false">IF(OR(W23="",M23=""),"",W23-M23)</f>
        <v/>
      </c>
      <c r="Y23" s="24" t="str">
        <f aca="false">IF(X23="","",IF(X23&gt;Min_Edge,"GRADE",IF(X23&lt;-Min_Edge,"SELL RAW","TOSS-UP")))</f>
        <v/>
      </c>
    </row>
    <row r="24" customFormat="false" ht="18" hidden="false" customHeight="true" outlineLevel="0" collapsed="false">
      <c r="A24" s="18" t="n">
        <v>20</v>
      </c>
      <c r="B24" s="19"/>
      <c r="C24" s="19"/>
      <c r="D24" s="19"/>
      <c r="E24" s="19"/>
      <c r="F24" s="20"/>
      <c r="G24" s="20"/>
      <c r="H24" s="20"/>
      <c r="I24" s="20"/>
      <c r="J24" s="21"/>
      <c r="K24" s="22" t="str">
        <f aca="false">IF(J24="","",(1-J24)*P9_Cond)</f>
        <v/>
      </c>
      <c r="L24" s="22" t="str">
        <f aca="false">IF(J24="","",(1-J24)*(1-P9_Cond))</f>
        <v/>
      </c>
      <c r="M24" s="23" t="str">
        <f aca="false">IF(F24="","",F24*(1-TCG_Commission-TCG_Pro_Fee-TCG_Pay_Pct)-TCG_Pay_Fix-Raw_Ship)</f>
        <v/>
      </c>
      <c r="N24" s="23" t="str">
        <f aca="false">IF(G24="","",G24*(1-TCG_Commission-TCG_Pro_Fee-TCG_Pay_Pct)-TCG_Pay_Fix-Graded_Ship)</f>
        <v/>
      </c>
      <c r="O24" s="23" t="str">
        <f aca="false">IF(H24="","",H24*(1-TCG_Commission-TCG_Pro_Fee-TCG_Pay_Pct)-TCG_Pay_Fix-Graded_Ship)</f>
        <v/>
      </c>
      <c r="P24" s="23" t="str">
        <f aca="false">IF(I24="","",I24*(1-TCG_Commission-TCG_Pro_Fee-TCG_Pay_Pct)-TCG_Pay_Fix-Graded_Ship)</f>
        <v/>
      </c>
      <c r="Q24" s="23" t="n">
        <f aca="false">PSA_Fee+PSA_Ship_Out+PSA_Ship_In+PSA_Supplies</f>
        <v>34</v>
      </c>
      <c r="R24" s="23" t="str">
        <f aca="false">IF(OR(J24="",N24="",O24="",P24=""),"",J24*N24+K24*O24+L24*P24-Q24)</f>
        <v/>
      </c>
      <c r="S24" s="23" t="str">
        <f aca="false">IF(OR(R24="",M24=""),"",R24-M24)</f>
        <v/>
      </c>
      <c r="T24" s="24" t="str">
        <f aca="false">IF(S24="","",IF(S24&gt;Min_Edge,"GRADE",IF(S24&lt;-Min_Edge,"SELL RAW","TOSS-UP")))</f>
        <v/>
      </c>
      <c r="U24" s="22" t="str">
        <f aca="false">IF(OR(N24="",O24="",P24="",M24=""),"",IFERROR((M24+Q24-(P9_Cond*O24+(1-P9_Cond)*P24))/(N24-(P9_Cond*O24+(1-P9_Cond)*P24)),"n/a"))</f>
        <v/>
      </c>
      <c r="V24" s="22" t="str">
        <f aca="false">IF(OR(J24="",U24="",U24="n/a"),"",J24-U24)</f>
        <v/>
      </c>
      <c r="W24" s="23" t="str">
        <f aca="false">IF(R24="","",R24/(1+Hurdle)^(PSA_Months/12))</f>
        <v/>
      </c>
      <c r="X24" s="23" t="str">
        <f aca="false">IF(OR(W24="",M24=""),"",W24-M24)</f>
        <v/>
      </c>
      <c r="Y24" s="24" t="str">
        <f aca="false">IF(X24="","",IF(X24&gt;Min_Edge,"GRADE",IF(X24&lt;-Min_Edge,"SELL RAW","TOSS-UP")))</f>
        <v/>
      </c>
    </row>
    <row r="25" customFormat="false" ht="18" hidden="false" customHeight="true" outlineLevel="0" collapsed="false">
      <c r="A25" s="18" t="n">
        <v>21</v>
      </c>
      <c r="B25" s="19"/>
      <c r="C25" s="19"/>
      <c r="D25" s="19"/>
      <c r="E25" s="19"/>
      <c r="F25" s="20"/>
      <c r="G25" s="20"/>
      <c r="H25" s="20"/>
      <c r="I25" s="20"/>
      <c r="J25" s="21"/>
      <c r="K25" s="22" t="str">
        <f aca="false">IF(J25="","",(1-J25)*P9_Cond)</f>
        <v/>
      </c>
      <c r="L25" s="22" t="str">
        <f aca="false">IF(J25="","",(1-J25)*(1-P9_Cond))</f>
        <v/>
      </c>
      <c r="M25" s="23" t="str">
        <f aca="false">IF(F25="","",F25*(1-TCG_Commission-TCG_Pro_Fee-TCG_Pay_Pct)-TCG_Pay_Fix-Raw_Ship)</f>
        <v/>
      </c>
      <c r="N25" s="23" t="str">
        <f aca="false">IF(G25="","",G25*(1-TCG_Commission-TCG_Pro_Fee-TCG_Pay_Pct)-TCG_Pay_Fix-Graded_Ship)</f>
        <v/>
      </c>
      <c r="O25" s="23" t="str">
        <f aca="false">IF(H25="","",H25*(1-TCG_Commission-TCG_Pro_Fee-TCG_Pay_Pct)-TCG_Pay_Fix-Graded_Ship)</f>
        <v/>
      </c>
      <c r="P25" s="23" t="str">
        <f aca="false">IF(I25="","",I25*(1-TCG_Commission-TCG_Pro_Fee-TCG_Pay_Pct)-TCG_Pay_Fix-Graded_Ship)</f>
        <v/>
      </c>
      <c r="Q25" s="23" t="n">
        <f aca="false">PSA_Fee+PSA_Ship_Out+PSA_Ship_In+PSA_Supplies</f>
        <v>34</v>
      </c>
      <c r="R25" s="23" t="str">
        <f aca="false">IF(OR(J25="",N25="",O25="",P25=""),"",J25*N25+K25*O25+L25*P25-Q25)</f>
        <v/>
      </c>
      <c r="S25" s="23" t="str">
        <f aca="false">IF(OR(R25="",M25=""),"",R25-M25)</f>
        <v/>
      </c>
      <c r="T25" s="24" t="str">
        <f aca="false">IF(S25="","",IF(S25&gt;Min_Edge,"GRADE",IF(S25&lt;-Min_Edge,"SELL RAW","TOSS-UP")))</f>
        <v/>
      </c>
      <c r="U25" s="22" t="str">
        <f aca="false">IF(OR(N25="",O25="",P25="",M25=""),"",IFERROR((M25+Q25-(P9_Cond*O25+(1-P9_Cond)*P25))/(N25-(P9_Cond*O25+(1-P9_Cond)*P25)),"n/a"))</f>
        <v/>
      </c>
      <c r="V25" s="22" t="str">
        <f aca="false">IF(OR(J25="",U25="",U25="n/a"),"",J25-U25)</f>
        <v/>
      </c>
      <c r="W25" s="23" t="str">
        <f aca="false">IF(R25="","",R25/(1+Hurdle)^(PSA_Months/12))</f>
        <v/>
      </c>
      <c r="X25" s="23" t="str">
        <f aca="false">IF(OR(W25="",M25=""),"",W25-M25)</f>
        <v/>
      </c>
      <c r="Y25" s="24" t="str">
        <f aca="false">IF(X25="","",IF(X25&gt;Min_Edge,"GRADE",IF(X25&lt;-Min_Edge,"SELL RAW","TOSS-UP")))</f>
        <v/>
      </c>
    </row>
    <row r="26" customFormat="false" ht="18" hidden="false" customHeight="true" outlineLevel="0" collapsed="false">
      <c r="A26" s="18" t="n">
        <v>22</v>
      </c>
      <c r="B26" s="19"/>
      <c r="C26" s="19"/>
      <c r="D26" s="19"/>
      <c r="E26" s="19"/>
      <c r="F26" s="20"/>
      <c r="G26" s="20"/>
      <c r="H26" s="20"/>
      <c r="I26" s="20"/>
      <c r="J26" s="21"/>
      <c r="K26" s="22" t="str">
        <f aca="false">IF(J26="","",(1-J26)*P9_Cond)</f>
        <v/>
      </c>
      <c r="L26" s="22" t="str">
        <f aca="false">IF(J26="","",(1-J26)*(1-P9_Cond))</f>
        <v/>
      </c>
      <c r="M26" s="23" t="str">
        <f aca="false">IF(F26="","",F26*(1-TCG_Commission-TCG_Pro_Fee-TCG_Pay_Pct)-TCG_Pay_Fix-Raw_Ship)</f>
        <v/>
      </c>
      <c r="N26" s="23" t="str">
        <f aca="false">IF(G26="","",G26*(1-TCG_Commission-TCG_Pro_Fee-TCG_Pay_Pct)-TCG_Pay_Fix-Graded_Ship)</f>
        <v/>
      </c>
      <c r="O26" s="23" t="str">
        <f aca="false">IF(H26="","",H26*(1-TCG_Commission-TCG_Pro_Fee-TCG_Pay_Pct)-TCG_Pay_Fix-Graded_Ship)</f>
        <v/>
      </c>
      <c r="P26" s="23" t="str">
        <f aca="false">IF(I26="","",I26*(1-TCG_Commission-TCG_Pro_Fee-TCG_Pay_Pct)-TCG_Pay_Fix-Graded_Ship)</f>
        <v/>
      </c>
      <c r="Q26" s="23" t="n">
        <f aca="false">PSA_Fee+PSA_Ship_Out+PSA_Ship_In+PSA_Supplies</f>
        <v>34</v>
      </c>
      <c r="R26" s="23" t="str">
        <f aca="false">IF(OR(J26="",N26="",O26="",P26=""),"",J26*N26+K26*O26+L26*P26-Q26)</f>
        <v/>
      </c>
      <c r="S26" s="23" t="str">
        <f aca="false">IF(OR(R26="",M26=""),"",R26-M26)</f>
        <v/>
      </c>
      <c r="T26" s="24" t="str">
        <f aca="false">IF(S26="","",IF(S26&gt;Min_Edge,"GRADE",IF(S26&lt;-Min_Edge,"SELL RAW","TOSS-UP")))</f>
        <v/>
      </c>
      <c r="U26" s="22" t="str">
        <f aca="false">IF(OR(N26="",O26="",P26="",M26=""),"",IFERROR((M26+Q26-(P9_Cond*O26+(1-P9_Cond)*P26))/(N26-(P9_Cond*O26+(1-P9_Cond)*P26)),"n/a"))</f>
        <v/>
      </c>
      <c r="V26" s="22" t="str">
        <f aca="false">IF(OR(J26="",U26="",U26="n/a"),"",J26-U26)</f>
        <v/>
      </c>
      <c r="W26" s="23" t="str">
        <f aca="false">IF(R26="","",R26/(1+Hurdle)^(PSA_Months/12))</f>
        <v/>
      </c>
      <c r="X26" s="23" t="str">
        <f aca="false">IF(OR(W26="",M26=""),"",W26-M26)</f>
        <v/>
      </c>
      <c r="Y26" s="24" t="str">
        <f aca="false">IF(X26="","",IF(X26&gt;Min_Edge,"GRADE",IF(X26&lt;-Min_Edge,"SELL RAW","TOSS-UP")))</f>
        <v/>
      </c>
    </row>
    <row r="27" customFormat="false" ht="18" hidden="false" customHeight="true" outlineLevel="0" collapsed="false">
      <c r="A27" s="18" t="n">
        <v>23</v>
      </c>
      <c r="B27" s="19"/>
      <c r="C27" s="19"/>
      <c r="D27" s="19"/>
      <c r="E27" s="19"/>
      <c r="F27" s="20"/>
      <c r="G27" s="20"/>
      <c r="H27" s="20"/>
      <c r="I27" s="20"/>
      <c r="J27" s="21"/>
      <c r="K27" s="22" t="str">
        <f aca="false">IF(J27="","",(1-J27)*P9_Cond)</f>
        <v/>
      </c>
      <c r="L27" s="22" t="str">
        <f aca="false">IF(J27="","",(1-J27)*(1-P9_Cond))</f>
        <v/>
      </c>
      <c r="M27" s="23" t="str">
        <f aca="false">IF(F27="","",F27*(1-TCG_Commission-TCG_Pro_Fee-TCG_Pay_Pct)-TCG_Pay_Fix-Raw_Ship)</f>
        <v/>
      </c>
      <c r="N27" s="23" t="str">
        <f aca="false">IF(G27="","",G27*(1-TCG_Commission-TCG_Pro_Fee-TCG_Pay_Pct)-TCG_Pay_Fix-Graded_Ship)</f>
        <v/>
      </c>
      <c r="O27" s="23" t="str">
        <f aca="false">IF(H27="","",H27*(1-TCG_Commission-TCG_Pro_Fee-TCG_Pay_Pct)-TCG_Pay_Fix-Graded_Ship)</f>
        <v/>
      </c>
      <c r="P27" s="23" t="str">
        <f aca="false">IF(I27="","",I27*(1-TCG_Commission-TCG_Pro_Fee-TCG_Pay_Pct)-TCG_Pay_Fix-Graded_Ship)</f>
        <v/>
      </c>
      <c r="Q27" s="23" t="n">
        <f aca="false">PSA_Fee+PSA_Ship_Out+PSA_Ship_In+PSA_Supplies</f>
        <v>34</v>
      </c>
      <c r="R27" s="23" t="str">
        <f aca="false">IF(OR(J27="",N27="",O27="",P27=""),"",J27*N27+K27*O27+L27*P27-Q27)</f>
        <v/>
      </c>
      <c r="S27" s="23" t="str">
        <f aca="false">IF(OR(R27="",M27=""),"",R27-M27)</f>
        <v/>
      </c>
      <c r="T27" s="24" t="str">
        <f aca="false">IF(S27="","",IF(S27&gt;Min_Edge,"GRADE",IF(S27&lt;-Min_Edge,"SELL RAW","TOSS-UP")))</f>
        <v/>
      </c>
      <c r="U27" s="22" t="str">
        <f aca="false">IF(OR(N27="",O27="",P27="",M27=""),"",IFERROR((M27+Q27-(P9_Cond*O27+(1-P9_Cond)*P27))/(N27-(P9_Cond*O27+(1-P9_Cond)*P27)),"n/a"))</f>
        <v/>
      </c>
      <c r="V27" s="22" t="str">
        <f aca="false">IF(OR(J27="",U27="",U27="n/a"),"",J27-U27)</f>
        <v/>
      </c>
      <c r="W27" s="23" t="str">
        <f aca="false">IF(R27="","",R27/(1+Hurdle)^(PSA_Months/12))</f>
        <v/>
      </c>
      <c r="X27" s="23" t="str">
        <f aca="false">IF(OR(W27="",M27=""),"",W27-M27)</f>
        <v/>
      </c>
      <c r="Y27" s="24" t="str">
        <f aca="false">IF(X27="","",IF(X27&gt;Min_Edge,"GRADE",IF(X27&lt;-Min_Edge,"SELL RAW","TOSS-UP")))</f>
        <v/>
      </c>
    </row>
    <row r="28" customFormat="false" ht="18" hidden="false" customHeight="true" outlineLevel="0" collapsed="false">
      <c r="A28" s="18" t="n">
        <v>24</v>
      </c>
      <c r="B28" s="19"/>
      <c r="C28" s="19"/>
      <c r="D28" s="19"/>
      <c r="E28" s="19"/>
      <c r="F28" s="20"/>
      <c r="G28" s="20"/>
      <c r="H28" s="20"/>
      <c r="I28" s="20"/>
      <c r="J28" s="21"/>
      <c r="K28" s="22" t="str">
        <f aca="false">IF(J28="","",(1-J28)*P9_Cond)</f>
        <v/>
      </c>
      <c r="L28" s="22" t="str">
        <f aca="false">IF(J28="","",(1-J28)*(1-P9_Cond))</f>
        <v/>
      </c>
      <c r="M28" s="23" t="str">
        <f aca="false">IF(F28="","",F28*(1-TCG_Commission-TCG_Pro_Fee-TCG_Pay_Pct)-TCG_Pay_Fix-Raw_Ship)</f>
        <v/>
      </c>
      <c r="N28" s="23" t="str">
        <f aca="false">IF(G28="","",G28*(1-TCG_Commission-TCG_Pro_Fee-TCG_Pay_Pct)-TCG_Pay_Fix-Graded_Ship)</f>
        <v/>
      </c>
      <c r="O28" s="23" t="str">
        <f aca="false">IF(H28="","",H28*(1-TCG_Commission-TCG_Pro_Fee-TCG_Pay_Pct)-TCG_Pay_Fix-Graded_Ship)</f>
        <v/>
      </c>
      <c r="P28" s="23" t="str">
        <f aca="false">IF(I28="","",I28*(1-TCG_Commission-TCG_Pro_Fee-TCG_Pay_Pct)-TCG_Pay_Fix-Graded_Ship)</f>
        <v/>
      </c>
      <c r="Q28" s="23" t="n">
        <f aca="false">PSA_Fee+PSA_Ship_Out+PSA_Ship_In+PSA_Supplies</f>
        <v>34</v>
      </c>
      <c r="R28" s="23" t="str">
        <f aca="false">IF(OR(J28="",N28="",O28="",P28=""),"",J28*N28+K28*O28+L28*P28-Q28)</f>
        <v/>
      </c>
      <c r="S28" s="23" t="str">
        <f aca="false">IF(OR(R28="",M28=""),"",R28-M28)</f>
        <v/>
      </c>
      <c r="T28" s="24" t="str">
        <f aca="false">IF(S28="","",IF(S28&gt;Min_Edge,"GRADE",IF(S28&lt;-Min_Edge,"SELL RAW","TOSS-UP")))</f>
        <v/>
      </c>
      <c r="U28" s="22" t="str">
        <f aca="false">IF(OR(N28="",O28="",P28="",M28=""),"",IFERROR((M28+Q28-(P9_Cond*O28+(1-P9_Cond)*P28))/(N28-(P9_Cond*O28+(1-P9_Cond)*P28)),"n/a"))</f>
        <v/>
      </c>
      <c r="V28" s="22" t="str">
        <f aca="false">IF(OR(J28="",U28="",U28="n/a"),"",J28-U28)</f>
        <v/>
      </c>
      <c r="W28" s="23" t="str">
        <f aca="false">IF(R28="","",R28/(1+Hurdle)^(PSA_Months/12))</f>
        <v/>
      </c>
      <c r="X28" s="23" t="str">
        <f aca="false">IF(OR(W28="",M28=""),"",W28-M28)</f>
        <v/>
      </c>
      <c r="Y28" s="24" t="str">
        <f aca="false">IF(X28="","",IF(X28&gt;Min_Edge,"GRADE",IF(X28&lt;-Min_Edge,"SELL RAW","TOSS-UP")))</f>
        <v/>
      </c>
    </row>
    <row r="29" customFormat="false" ht="18" hidden="false" customHeight="true" outlineLevel="0" collapsed="false">
      <c r="A29" s="18" t="n">
        <v>25</v>
      </c>
      <c r="B29" s="19"/>
      <c r="C29" s="19"/>
      <c r="D29" s="19"/>
      <c r="E29" s="19"/>
      <c r="F29" s="20"/>
      <c r="G29" s="20"/>
      <c r="H29" s="20"/>
      <c r="I29" s="20"/>
      <c r="J29" s="21"/>
      <c r="K29" s="22" t="str">
        <f aca="false">IF(J29="","",(1-J29)*P9_Cond)</f>
        <v/>
      </c>
      <c r="L29" s="22" t="str">
        <f aca="false">IF(J29="","",(1-J29)*(1-P9_Cond))</f>
        <v/>
      </c>
      <c r="M29" s="23" t="str">
        <f aca="false">IF(F29="","",F29*(1-TCG_Commission-TCG_Pro_Fee-TCG_Pay_Pct)-TCG_Pay_Fix-Raw_Ship)</f>
        <v/>
      </c>
      <c r="N29" s="23" t="str">
        <f aca="false">IF(G29="","",G29*(1-TCG_Commission-TCG_Pro_Fee-TCG_Pay_Pct)-TCG_Pay_Fix-Graded_Ship)</f>
        <v/>
      </c>
      <c r="O29" s="23" t="str">
        <f aca="false">IF(H29="","",H29*(1-TCG_Commission-TCG_Pro_Fee-TCG_Pay_Pct)-TCG_Pay_Fix-Graded_Ship)</f>
        <v/>
      </c>
      <c r="P29" s="23" t="str">
        <f aca="false">IF(I29="","",I29*(1-TCG_Commission-TCG_Pro_Fee-TCG_Pay_Pct)-TCG_Pay_Fix-Graded_Ship)</f>
        <v/>
      </c>
      <c r="Q29" s="23" t="n">
        <f aca="false">PSA_Fee+PSA_Ship_Out+PSA_Ship_In+PSA_Supplies</f>
        <v>34</v>
      </c>
      <c r="R29" s="23" t="str">
        <f aca="false">IF(OR(J29="",N29="",O29="",P29=""),"",J29*N29+K29*O29+L29*P29-Q29)</f>
        <v/>
      </c>
      <c r="S29" s="23" t="str">
        <f aca="false">IF(OR(R29="",M29=""),"",R29-M29)</f>
        <v/>
      </c>
      <c r="T29" s="24" t="str">
        <f aca="false">IF(S29="","",IF(S29&gt;Min_Edge,"GRADE",IF(S29&lt;-Min_Edge,"SELL RAW","TOSS-UP")))</f>
        <v/>
      </c>
      <c r="U29" s="22" t="str">
        <f aca="false">IF(OR(N29="",O29="",P29="",M29=""),"",IFERROR((M29+Q29-(P9_Cond*O29+(1-P9_Cond)*P29))/(N29-(P9_Cond*O29+(1-P9_Cond)*P29)),"n/a"))</f>
        <v/>
      </c>
      <c r="V29" s="22" t="str">
        <f aca="false">IF(OR(J29="",U29="",U29="n/a"),"",J29-U29)</f>
        <v/>
      </c>
      <c r="W29" s="23" t="str">
        <f aca="false">IF(R29="","",R29/(1+Hurdle)^(PSA_Months/12))</f>
        <v/>
      </c>
      <c r="X29" s="23" t="str">
        <f aca="false">IF(OR(W29="",M29=""),"",W29-M29)</f>
        <v/>
      </c>
      <c r="Y29" s="24" t="str">
        <f aca="false">IF(X29="","",IF(X29&gt;Min_Edge,"GRADE",IF(X29&lt;-Min_Edge,"SELL RAW","TOSS-UP")))</f>
        <v/>
      </c>
    </row>
    <row r="30" customFormat="false" ht="18" hidden="false" customHeight="true" outlineLevel="0" collapsed="false">
      <c r="A30" s="18" t="n">
        <v>26</v>
      </c>
      <c r="B30" s="19"/>
      <c r="C30" s="19"/>
      <c r="D30" s="19"/>
      <c r="E30" s="19"/>
      <c r="F30" s="20"/>
      <c r="G30" s="20"/>
      <c r="H30" s="20"/>
      <c r="I30" s="20"/>
      <c r="J30" s="21"/>
      <c r="K30" s="22" t="str">
        <f aca="false">IF(J30="","",(1-J30)*P9_Cond)</f>
        <v/>
      </c>
      <c r="L30" s="22" t="str">
        <f aca="false">IF(J30="","",(1-J30)*(1-P9_Cond))</f>
        <v/>
      </c>
      <c r="M30" s="23" t="str">
        <f aca="false">IF(F30="","",F30*(1-TCG_Commission-TCG_Pro_Fee-TCG_Pay_Pct)-TCG_Pay_Fix-Raw_Ship)</f>
        <v/>
      </c>
      <c r="N30" s="23" t="str">
        <f aca="false">IF(G30="","",G30*(1-TCG_Commission-TCG_Pro_Fee-TCG_Pay_Pct)-TCG_Pay_Fix-Graded_Ship)</f>
        <v/>
      </c>
      <c r="O30" s="23" t="str">
        <f aca="false">IF(H30="","",H30*(1-TCG_Commission-TCG_Pro_Fee-TCG_Pay_Pct)-TCG_Pay_Fix-Graded_Ship)</f>
        <v/>
      </c>
      <c r="P30" s="23" t="str">
        <f aca="false">IF(I30="","",I30*(1-TCG_Commission-TCG_Pro_Fee-TCG_Pay_Pct)-TCG_Pay_Fix-Graded_Ship)</f>
        <v/>
      </c>
      <c r="Q30" s="23" t="n">
        <f aca="false">PSA_Fee+PSA_Ship_Out+PSA_Ship_In+PSA_Supplies</f>
        <v>34</v>
      </c>
      <c r="R30" s="23" t="str">
        <f aca="false">IF(OR(J30="",N30="",O30="",P30=""),"",J30*N30+K30*O30+L30*P30-Q30)</f>
        <v/>
      </c>
      <c r="S30" s="23" t="str">
        <f aca="false">IF(OR(R30="",M30=""),"",R30-M30)</f>
        <v/>
      </c>
      <c r="T30" s="24" t="str">
        <f aca="false">IF(S30="","",IF(S30&gt;Min_Edge,"GRADE",IF(S30&lt;-Min_Edge,"SELL RAW","TOSS-UP")))</f>
        <v/>
      </c>
      <c r="U30" s="22" t="str">
        <f aca="false">IF(OR(N30="",O30="",P30="",M30=""),"",IFERROR((M30+Q30-(P9_Cond*O30+(1-P9_Cond)*P30))/(N30-(P9_Cond*O30+(1-P9_Cond)*P30)),"n/a"))</f>
        <v/>
      </c>
      <c r="V30" s="22" t="str">
        <f aca="false">IF(OR(J30="",U30="",U30="n/a"),"",J30-U30)</f>
        <v/>
      </c>
      <c r="W30" s="23" t="str">
        <f aca="false">IF(R30="","",R30/(1+Hurdle)^(PSA_Months/12))</f>
        <v/>
      </c>
      <c r="X30" s="23" t="str">
        <f aca="false">IF(OR(W30="",M30=""),"",W30-M30)</f>
        <v/>
      </c>
      <c r="Y30" s="24" t="str">
        <f aca="false">IF(X30="","",IF(X30&gt;Min_Edge,"GRADE",IF(X30&lt;-Min_Edge,"SELL RAW","TOSS-UP")))</f>
        <v/>
      </c>
    </row>
    <row r="31" customFormat="false" ht="18" hidden="false" customHeight="true" outlineLevel="0" collapsed="false">
      <c r="A31" s="18" t="n">
        <v>27</v>
      </c>
      <c r="B31" s="19"/>
      <c r="C31" s="19"/>
      <c r="D31" s="19"/>
      <c r="E31" s="19"/>
      <c r="F31" s="20"/>
      <c r="G31" s="20"/>
      <c r="H31" s="20"/>
      <c r="I31" s="20"/>
      <c r="J31" s="21"/>
      <c r="K31" s="22" t="str">
        <f aca="false">IF(J31="","",(1-J31)*P9_Cond)</f>
        <v/>
      </c>
      <c r="L31" s="22" t="str">
        <f aca="false">IF(J31="","",(1-J31)*(1-P9_Cond))</f>
        <v/>
      </c>
      <c r="M31" s="23" t="str">
        <f aca="false">IF(F31="","",F31*(1-TCG_Commission-TCG_Pro_Fee-TCG_Pay_Pct)-TCG_Pay_Fix-Raw_Ship)</f>
        <v/>
      </c>
      <c r="N31" s="23" t="str">
        <f aca="false">IF(G31="","",G31*(1-TCG_Commission-TCG_Pro_Fee-TCG_Pay_Pct)-TCG_Pay_Fix-Graded_Ship)</f>
        <v/>
      </c>
      <c r="O31" s="23" t="str">
        <f aca="false">IF(H31="","",H31*(1-TCG_Commission-TCG_Pro_Fee-TCG_Pay_Pct)-TCG_Pay_Fix-Graded_Ship)</f>
        <v/>
      </c>
      <c r="P31" s="23" t="str">
        <f aca="false">IF(I31="","",I31*(1-TCG_Commission-TCG_Pro_Fee-TCG_Pay_Pct)-TCG_Pay_Fix-Graded_Ship)</f>
        <v/>
      </c>
      <c r="Q31" s="23" t="n">
        <f aca="false">PSA_Fee+PSA_Ship_Out+PSA_Ship_In+PSA_Supplies</f>
        <v>34</v>
      </c>
      <c r="R31" s="23" t="str">
        <f aca="false">IF(OR(J31="",N31="",O31="",P31=""),"",J31*N31+K31*O31+L31*P31-Q31)</f>
        <v/>
      </c>
      <c r="S31" s="23" t="str">
        <f aca="false">IF(OR(R31="",M31=""),"",R31-M31)</f>
        <v/>
      </c>
      <c r="T31" s="24" t="str">
        <f aca="false">IF(S31="","",IF(S31&gt;Min_Edge,"GRADE",IF(S31&lt;-Min_Edge,"SELL RAW","TOSS-UP")))</f>
        <v/>
      </c>
      <c r="U31" s="22" t="str">
        <f aca="false">IF(OR(N31="",O31="",P31="",M31=""),"",IFERROR((M31+Q31-(P9_Cond*O31+(1-P9_Cond)*P31))/(N31-(P9_Cond*O31+(1-P9_Cond)*P31)),"n/a"))</f>
        <v/>
      </c>
      <c r="V31" s="22" t="str">
        <f aca="false">IF(OR(J31="",U31="",U31="n/a"),"",J31-U31)</f>
        <v/>
      </c>
      <c r="W31" s="23" t="str">
        <f aca="false">IF(R31="","",R31/(1+Hurdle)^(PSA_Months/12))</f>
        <v/>
      </c>
      <c r="X31" s="23" t="str">
        <f aca="false">IF(OR(W31="",M31=""),"",W31-M31)</f>
        <v/>
      </c>
      <c r="Y31" s="24" t="str">
        <f aca="false">IF(X31="","",IF(X31&gt;Min_Edge,"GRADE",IF(X31&lt;-Min_Edge,"SELL RAW","TOSS-UP")))</f>
        <v/>
      </c>
    </row>
    <row r="32" customFormat="false" ht="18" hidden="false" customHeight="true" outlineLevel="0" collapsed="false">
      <c r="A32" s="18" t="n">
        <v>28</v>
      </c>
      <c r="B32" s="19"/>
      <c r="C32" s="19"/>
      <c r="D32" s="19"/>
      <c r="E32" s="19"/>
      <c r="F32" s="20"/>
      <c r="G32" s="20"/>
      <c r="H32" s="20"/>
      <c r="I32" s="20"/>
      <c r="J32" s="21"/>
      <c r="K32" s="22" t="str">
        <f aca="false">IF(J32="","",(1-J32)*P9_Cond)</f>
        <v/>
      </c>
      <c r="L32" s="22" t="str">
        <f aca="false">IF(J32="","",(1-J32)*(1-P9_Cond))</f>
        <v/>
      </c>
      <c r="M32" s="23" t="str">
        <f aca="false">IF(F32="","",F32*(1-TCG_Commission-TCG_Pro_Fee-TCG_Pay_Pct)-TCG_Pay_Fix-Raw_Ship)</f>
        <v/>
      </c>
      <c r="N32" s="23" t="str">
        <f aca="false">IF(G32="","",G32*(1-TCG_Commission-TCG_Pro_Fee-TCG_Pay_Pct)-TCG_Pay_Fix-Graded_Ship)</f>
        <v/>
      </c>
      <c r="O32" s="23" t="str">
        <f aca="false">IF(H32="","",H32*(1-TCG_Commission-TCG_Pro_Fee-TCG_Pay_Pct)-TCG_Pay_Fix-Graded_Ship)</f>
        <v/>
      </c>
      <c r="P32" s="23" t="str">
        <f aca="false">IF(I32="","",I32*(1-TCG_Commission-TCG_Pro_Fee-TCG_Pay_Pct)-TCG_Pay_Fix-Graded_Ship)</f>
        <v/>
      </c>
      <c r="Q32" s="23" t="n">
        <f aca="false">PSA_Fee+PSA_Ship_Out+PSA_Ship_In+PSA_Supplies</f>
        <v>34</v>
      </c>
      <c r="R32" s="23" t="str">
        <f aca="false">IF(OR(J32="",N32="",O32="",P32=""),"",J32*N32+K32*O32+L32*P32-Q32)</f>
        <v/>
      </c>
      <c r="S32" s="23" t="str">
        <f aca="false">IF(OR(R32="",M32=""),"",R32-M32)</f>
        <v/>
      </c>
      <c r="T32" s="24" t="str">
        <f aca="false">IF(S32="","",IF(S32&gt;Min_Edge,"GRADE",IF(S32&lt;-Min_Edge,"SELL RAW","TOSS-UP")))</f>
        <v/>
      </c>
      <c r="U32" s="22" t="str">
        <f aca="false">IF(OR(N32="",O32="",P32="",M32=""),"",IFERROR((M32+Q32-(P9_Cond*O32+(1-P9_Cond)*P32))/(N32-(P9_Cond*O32+(1-P9_Cond)*P32)),"n/a"))</f>
        <v/>
      </c>
      <c r="V32" s="22" t="str">
        <f aca="false">IF(OR(J32="",U32="",U32="n/a"),"",J32-U32)</f>
        <v/>
      </c>
      <c r="W32" s="23" t="str">
        <f aca="false">IF(R32="","",R32/(1+Hurdle)^(PSA_Months/12))</f>
        <v/>
      </c>
      <c r="X32" s="23" t="str">
        <f aca="false">IF(OR(W32="",M32=""),"",W32-M32)</f>
        <v/>
      </c>
      <c r="Y32" s="24" t="str">
        <f aca="false">IF(X32="","",IF(X32&gt;Min_Edge,"GRADE",IF(X32&lt;-Min_Edge,"SELL RAW","TOSS-UP")))</f>
        <v/>
      </c>
    </row>
    <row r="33" customFormat="false" ht="18" hidden="false" customHeight="true" outlineLevel="0" collapsed="false">
      <c r="A33" s="18" t="n">
        <v>29</v>
      </c>
      <c r="B33" s="19"/>
      <c r="C33" s="19"/>
      <c r="D33" s="19"/>
      <c r="E33" s="19"/>
      <c r="F33" s="20"/>
      <c r="G33" s="20"/>
      <c r="H33" s="20"/>
      <c r="I33" s="20"/>
      <c r="J33" s="21"/>
      <c r="K33" s="22" t="str">
        <f aca="false">IF(J33="","",(1-J33)*P9_Cond)</f>
        <v/>
      </c>
      <c r="L33" s="22" t="str">
        <f aca="false">IF(J33="","",(1-J33)*(1-P9_Cond))</f>
        <v/>
      </c>
      <c r="M33" s="23" t="str">
        <f aca="false">IF(F33="","",F33*(1-TCG_Commission-TCG_Pro_Fee-TCG_Pay_Pct)-TCG_Pay_Fix-Raw_Ship)</f>
        <v/>
      </c>
      <c r="N33" s="23" t="str">
        <f aca="false">IF(G33="","",G33*(1-TCG_Commission-TCG_Pro_Fee-TCG_Pay_Pct)-TCG_Pay_Fix-Graded_Ship)</f>
        <v/>
      </c>
      <c r="O33" s="23" t="str">
        <f aca="false">IF(H33="","",H33*(1-TCG_Commission-TCG_Pro_Fee-TCG_Pay_Pct)-TCG_Pay_Fix-Graded_Ship)</f>
        <v/>
      </c>
      <c r="P33" s="23" t="str">
        <f aca="false">IF(I33="","",I33*(1-TCG_Commission-TCG_Pro_Fee-TCG_Pay_Pct)-TCG_Pay_Fix-Graded_Ship)</f>
        <v/>
      </c>
      <c r="Q33" s="23" t="n">
        <f aca="false">PSA_Fee+PSA_Ship_Out+PSA_Ship_In+PSA_Supplies</f>
        <v>34</v>
      </c>
      <c r="R33" s="23" t="str">
        <f aca="false">IF(OR(J33="",N33="",O33="",P33=""),"",J33*N33+K33*O33+L33*P33-Q33)</f>
        <v/>
      </c>
      <c r="S33" s="23" t="str">
        <f aca="false">IF(OR(R33="",M33=""),"",R33-M33)</f>
        <v/>
      </c>
      <c r="T33" s="24" t="str">
        <f aca="false">IF(S33="","",IF(S33&gt;Min_Edge,"GRADE",IF(S33&lt;-Min_Edge,"SELL RAW","TOSS-UP")))</f>
        <v/>
      </c>
      <c r="U33" s="22" t="str">
        <f aca="false">IF(OR(N33="",O33="",P33="",M33=""),"",IFERROR((M33+Q33-(P9_Cond*O33+(1-P9_Cond)*P33))/(N33-(P9_Cond*O33+(1-P9_Cond)*P33)),"n/a"))</f>
        <v/>
      </c>
      <c r="V33" s="22" t="str">
        <f aca="false">IF(OR(J33="",U33="",U33="n/a"),"",J33-U33)</f>
        <v/>
      </c>
      <c r="W33" s="23" t="str">
        <f aca="false">IF(R33="","",R33/(1+Hurdle)^(PSA_Months/12))</f>
        <v/>
      </c>
      <c r="X33" s="23" t="str">
        <f aca="false">IF(OR(W33="",M33=""),"",W33-M33)</f>
        <v/>
      </c>
      <c r="Y33" s="24" t="str">
        <f aca="false">IF(X33="","",IF(X33&gt;Min_Edge,"GRADE",IF(X33&lt;-Min_Edge,"SELL RAW","TOSS-UP")))</f>
        <v/>
      </c>
    </row>
    <row r="34" customFormat="false" ht="18" hidden="false" customHeight="true" outlineLevel="0" collapsed="false">
      <c r="A34" s="18" t="n">
        <v>30</v>
      </c>
      <c r="B34" s="19"/>
      <c r="C34" s="19"/>
      <c r="D34" s="19"/>
      <c r="E34" s="19"/>
      <c r="F34" s="20"/>
      <c r="G34" s="20"/>
      <c r="H34" s="20"/>
      <c r="I34" s="20"/>
      <c r="J34" s="21"/>
      <c r="K34" s="22" t="str">
        <f aca="false">IF(J34="","",(1-J34)*P9_Cond)</f>
        <v/>
      </c>
      <c r="L34" s="22" t="str">
        <f aca="false">IF(J34="","",(1-J34)*(1-P9_Cond))</f>
        <v/>
      </c>
      <c r="M34" s="23" t="str">
        <f aca="false">IF(F34="","",F34*(1-TCG_Commission-TCG_Pro_Fee-TCG_Pay_Pct)-TCG_Pay_Fix-Raw_Ship)</f>
        <v/>
      </c>
      <c r="N34" s="23" t="str">
        <f aca="false">IF(G34="","",G34*(1-TCG_Commission-TCG_Pro_Fee-TCG_Pay_Pct)-TCG_Pay_Fix-Graded_Ship)</f>
        <v/>
      </c>
      <c r="O34" s="23" t="str">
        <f aca="false">IF(H34="","",H34*(1-TCG_Commission-TCG_Pro_Fee-TCG_Pay_Pct)-TCG_Pay_Fix-Graded_Ship)</f>
        <v/>
      </c>
      <c r="P34" s="23" t="str">
        <f aca="false">IF(I34="","",I34*(1-TCG_Commission-TCG_Pro_Fee-TCG_Pay_Pct)-TCG_Pay_Fix-Graded_Ship)</f>
        <v/>
      </c>
      <c r="Q34" s="23" t="n">
        <f aca="false">PSA_Fee+PSA_Ship_Out+PSA_Ship_In+PSA_Supplies</f>
        <v>34</v>
      </c>
      <c r="R34" s="23" t="str">
        <f aca="false">IF(OR(J34="",N34="",O34="",P34=""),"",J34*N34+K34*O34+L34*P34-Q34)</f>
        <v/>
      </c>
      <c r="S34" s="23" t="str">
        <f aca="false">IF(OR(R34="",M34=""),"",R34-M34)</f>
        <v/>
      </c>
      <c r="T34" s="24" t="str">
        <f aca="false">IF(S34="","",IF(S34&gt;Min_Edge,"GRADE",IF(S34&lt;-Min_Edge,"SELL RAW","TOSS-UP")))</f>
        <v/>
      </c>
      <c r="U34" s="22" t="str">
        <f aca="false">IF(OR(N34="",O34="",P34="",M34=""),"",IFERROR((M34+Q34-(P9_Cond*O34+(1-P9_Cond)*P34))/(N34-(P9_Cond*O34+(1-P9_Cond)*P34)),"n/a"))</f>
        <v/>
      </c>
      <c r="V34" s="22" t="str">
        <f aca="false">IF(OR(J34="",U34="",U34="n/a"),"",J34-U34)</f>
        <v/>
      </c>
      <c r="W34" s="23" t="str">
        <f aca="false">IF(R34="","",R34/(1+Hurdle)^(PSA_Months/12))</f>
        <v/>
      </c>
      <c r="X34" s="23" t="str">
        <f aca="false">IF(OR(W34="",M34=""),"",W34-M34)</f>
        <v/>
      </c>
      <c r="Y34" s="24" t="str">
        <f aca="false">IF(X34="","",IF(X34&gt;Min_Edge,"GRADE",IF(X34&lt;-Min_Edge,"SELL RAW","TOSS-UP")))</f>
        <v/>
      </c>
    </row>
  </sheetData>
  <mergeCells count="1">
    <mergeCell ref="A1:Y1"/>
  </mergeCells>
  <conditionalFormatting sqref="T5:T34">
    <cfRule type="expression" priority="2" aboveAverage="0" equalAverage="0" bottom="0" percent="0" rank="0" text="" dxfId="0">
      <formula>T5="GRADE"</formula>
    </cfRule>
    <cfRule type="expression" priority="3" aboveAverage="0" equalAverage="0" bottom="0" percent="0" rank="0" text="" dxfId="1">
      <formula>T5="SELL RAW"</formula>
    </cfRule>
    <cfRule type="expression" priority="4" aboveAverage="0" equalAverage="0" bottom="0" percent="0" rank="0" text="" dxfId="2">
      <formula>T5="TOSS-UP"</formula>
    </cfRule>
  </conditionalFormatting>
  <conditionalFormatting sqref="Y5:Y34">
    <cfRule type="expression" priority="5" aboveAverage="0" equalAverage="0" bottom="0" percent="0" rank="0" text="" dxfId="0">
      <formula>Y5="GRADE"</formula>
    </cfRule>
    <cfRule type="expression" priority="6" aboveAverage="0" equalAverage="0" bottom="0" percent="0" rank="0" text="" dxfId="1">
      <formula>Y5="SELL RAW"</formula>
    </cfRule>
    <cfRule type="expression" priority="7" aboveAverage="0" equalAverage="0" bottom="0" percent="0" rank="0" text="" dxfId="2">
      <formula>Y5="TOSS-UP"</formula>
    </cfRule>
  </conditionalFormatting>
  <conditionalFormatting sqref="S5:S34">
    <cfRule type="expression" priority="8" aboveAverage="0" equalAverage="0" bottom="0" percent="0" rank="0" text="" dxfId="3">
      <formula>AND(ISNUMBER(S5),S5&gt;=0)</formula>
    </cfRule>
    <cfRule type="expression" priority="9" aboveAverage="0" equalAverage="0" bottom="0" percent="0" rank="0" text="" dxfId="4">
      <formula>AND(ISNUMBER(S5),S5&lt;0)</formula>
    </cfRule>
  </conditionalFormatting>
  <conditionalFormatting sqref="X5:X34">
    <cfRule type="expression" priority="10" aboveAverage="0" equalAverage="0" bottom="0" percent="0" rank="0" text="" dxfId="3">
      <formula>AND(ISNUMBER(X5),X5&gt;=0)</formula>
    </cfRule>
    <cfRule type="expression" priority="11" aboveAverage="0" equalAverage="0" bottom="0" percent="0" rank="0" text="" dxfId="4">
      <formula>AND(ISNUMBER(X5),X5&lt;0)</formula>
    </cfRule>
  </conditionalFormatting>
  <conditionalFormatting sqref="V5:V34">
    <cfRule type="expression" priority="12" aboveAverage="0" equalAverage="0" bottom="0" percent="0" rank="0" text="" dxfId="3">
      <formula>AND(ISNUMBER(V5),V5&gt;=0)</formula>
    </cfRule>
    <cfRule type="expression" priority="13" aboveAverage="0" equalAverage="0" bottom="0" percent="0" rank="0" text="" dxfId="4">
      <formula>AND(ISNUMBER(V5),V5&lt;0)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8"/>
    <col collapsed="false" customWidth="true" hidden="false" outlineLevel="0" max="3" min="3" style="1" width="90"/>
  </cols>
  <sheetData>
    <row r="1" customFormat="false" ht="17.25" hidden="false" customHeight="true" outlineLevel="0" collapsed="false">
      <c r="B1" s="5" t="s">
        <v>94</v>
      </c>
    </row>
    <row r="3" customFormat="false" ht="31.5" hidden="false" customHeight="true" outlineLevel="0" collapsed="false">
      <c r="B3" s="25" t="s">
        <v>95</v>
      </c>
      <c r="C3" s="26" t="s">
        <v>96</v>
      </c>
    </row>
    <row r="4" customFormat="false" ht="31.5" hidden="false" customHeight="true" outlineLevel="0" collapsed="false">
      <c r="B4" s="25" t="s">
        <v>97</v>
      </c>
      <c r="C4" s="26" t="s">
        <v>98</v>
      </c>
    </row>
    <row r="5" customFormat="false" ht="31.5" hidden="false" customHeight="true" outlineLevel="0" collapsed="false">
      <c r="B5" s="25" t="s">
        <v>99</v>
      </c>
      <c r="C5" s="26" t="s">
        <v>100</v>
      </c>
    </row>
    <row r="6" customFormat="false" ht="31.5" hidden="false" customHeight="true" outlineLevel="0" collapsed="false">
      <c r="B6" s="25" t="s">
        <v>101</v>
      </c>
      <c r="C6" s="26" t="s">
        <v>102</v>
      </c>
    </row>
    <row r="7" customFormat="false" ht="31.5" hidden="false" customHeight="true" outlineLevel="0" collapsed="false">
      <c r="B7" s="25" t="s">
        <v>103</v>
      </c>
      <c r="C7" s="26" t="s">
        <v>104</v>
      </c>
    </row>
    <row r="8" customFormat="false" ht="31.5" hidden="false" customHeight="true" outlineLevel="0" collapsed="false">
      <c r="B8" s="25" t="s">
        <v>105</v>
      </c>
      <c r="C8" s="26" t="s">
        <v>106</v>
      </c>
    </row>
    <row r="9" customFormat="false" ht="31.5" hidden="false" customHeight="true" outlineLevel="0" collapsed="false">
      <c r="B9" s="25" t="s">
        <v>107</v>
      </c>
      <c r="C9" s="26" t="s">
        <v>108</v>
      </c>
    </row>
    <row r="10" customFormat="false" ht="31.5" hidden="false" customHeight="true" outlineLevel="0" collapsed="false">
      <c r="B10" s="25" t="s">
        <v>109</v>
      </c>
      <c r="C10" s="26" t="s">
        <v>110</v>
      </c>
    </row>
    <row r="11" customFormat="false" ht="31.5" hidden="false" customHeight="true" outlineLevel="0" collapsed="false">
      <c r="B11" s="25" t="s">
        <v>111</v>
      </c>
      <c r="C11" s="26" t="s">
        <v>112</v>
      </c>
    </row>
    <row r="12" customFormat="false" ht="31.5" hidden="false" customHeight="true" outlineLevel="0" collapsed="false">
      <c r="B12" s="25" t="s">
        <v>113</v>
      </c>
      <c r="C12" s="26" t="s">
        <v>114</v>
      </c>
    </row>
    <row r="13" customFormat="false" ht="31.5" hidden="false" customHeight="true" outlineLevel="0" collapsed="false">
      <c r="B13" s="25" t="s">
        <v>115</v>
      </c>
      <c r="C13" s="26" t="s">
        <v>116</v>
      </c>
    </row>
    <row r="14" customFormat="false" ht="31.5" hidden="false" customHeight="true" outlineLevel="0" collapsed="false">
      <c r="B14" s="25" t="s">
        <v>117</v>
      </c>
      <c r="C14" s="26" t="s">
        <v>118</v>
      </c>
    </row>
    <row r="15" customFormat="false" ht="31.5" hidden="false" customHeight="true" outlineLevel="0" collapsed="false">
      <c r="B15" s="25" t="s">
        <v>119</v>
      </c>
      <c r="C15" s="26" t="s">
        <v>120</v>
      </c>
    </row>
    <row r="16" customFormat="false" ht="31.5" hidden="false" customHeight="true" outlineLevel="0" collapsed="false">
      <c r="B16" s="25" t="s">
        <v>121</v>
      </c>
      <c r="C16" s="26" t="s">
        <v>122</v>
      </c>
    </row>
    <row r="17" customFormat="false" ht="31.5" hidden="false" customHeight="true" outlineLevel="0" collapsed="false">
      <c r="B17" s="25" t="s">
        <v>123</v>
      </c>
      <c r="C17" s="26" t="s">
        <v>124</v>
      </c>
    </row>
    <row r="18" customFormat="false" ht="31.5" hidden="false" customHeight="true" outlineLevel="0" collapsed="false">
      <c r="B18" s="25" t="s">
        <v>125</v>
      </c>
      <c r="C18" s="26" t="s">
        <v>126</v>
      </c>
    </row>
    <row r="19" customFormat="false" ht="31.5" hidden="false" customHeight="true" outlineLevel="0" collapsed="false">
      <c r="B19" s="25" t="s">
        <v>127</v>
      </c>
      <c r="C19" s="26" t="s">
        <v>128</v>
      </c>
    </row>
    <row r="20" customFormat="false" ht="31.5" hidden="false" customHeight="true" outlineLevel="0" collapsed="false">
      <c r="B20" s="25" t="s">
        <v>129</v>
      </c>
      <c r="C20" s="26" t="s">
        <v>130</v>
      </c>
    </row>
    <row r="23" customFormat="false" ht="26.85" hidden="false" customHeight="false" outlineLevel="0" collapsed="false">
      <c r="B23" s="27" t="s">
        <v>131</v>
      </c>
    </row>
    <row r="24" customFormat="false" ht="36" hidden="false" customHeight="true" outlineLevel="0" collapsed="false">
      <c r="B24" s="25" t="s">
        <v>132</v>
      </c>
      <c r="C24" s="26" t="s">
        <v>133</v>
      </c>
    </row>
    <row r="25" customFormat="false" ht="36" hidden="false" customHeight="true" outlineLevel="0" collapsed="false">
      <c r="B25" s="25" t="s">
        <v>134</v>
      </c>
      <c r="C25" s="26" t="s">
        <v>135</v>
      </c>
    </row>
    <row r="26" customFormat="false" ht="36" hidden="false" customHeight="true" outlineLevel="0" collapsed="false">
      <c r="B26" s="25" t="s">
        <v>136</v>
      </c>
      <c r="C26" s="26" t="s">
        <v>137</v>
      </c>
    </row>
    <row r="28" customFormat="false" ht="39.55" hidden="false" customHeight="false" outlineLevel="0" collapsed="false">
      <c r="B28" s="27" t="s">
        <v>138</v>
      </c>
    </row>
    <row r="29" customFormat="false" ht="36" hidden="false" customHeight="true" outlineLevel="0" collapsed="false">
      <c r="B29" s="25" t="s">
        <v>139</v>
      </c>
      <c r="C29" s="26" t="s">
        <v>140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2026-05-04T05:02:22Z</dcterms:created>
  <dc:creator>openpyxl</dc:creator>
  <dc:description/>
  <dc:language>en-US</dc:language>
  <cp:lastModifiedBy/>
  <dcterms:modified xsi:type="dcterms:W3CDTF">2026-05-04T05:05:35Z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